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624F1BB-0430-41FF-AB9D-97E0C33F3A47}" xr6:coauthVersionLast="47" xr6:coauthVersionMax="47" xr10:uidLastSave="{00000000-0000-0000-0000-000000000000}"/>
  <bookViews>
    <workbookView xWindow="-120" yWindow="-120" windowWidth="24240" windowHeight="13020" xr2:uid="{745F05B2-E6BF-441C-BA9B-21990DDCE8EF}"/>
  </bookViews>
  <sheets>
    <sheet name="Dashboard" sheetId="1" r:id="rId1"/>
    <sheet name="Sheet2" sheetId="5" r:id="rId2"/>
    <sheet name="Data" sheetId="2" r:id="rId3"/>
    <sheet name="Piovot table" sheetId="3" r:id="rId4"/>
  </sheets>
  <definedNames>
    <definedName name="NativeTimeline_Date1">#N/A</definedName>
    <definedName name="Slicer_Product">#N/A</definedName>
    <definedName name="Slicer_Region1">#N/A</definedName>
  </definedNames>
  <calcPr calcId="191029"/>
  <pivotCaches>
    <pivotCache cacheId="16" r:id="rId5"/>
    <pivotCache cacheId="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3" l="1"/>
  <c r="B14" i="3"/>
</calcChain>
</file>

<file path=xl/sharedStrings.xml><?xml version="1.0" encoding="utf-8"?>
<sst xmlns="http://schemas.openxmlformats.org/spreadsheetml/2006/main" count="171" uniqueCount="69">
  <si>
    <t>S No</t>
  </si>
  <si>
    <t>Date</t>
  </si>
  <si>
    <t>Salesman</t>
  </si>
  <si>
    <t>Region</t>
  </si>
  <si>
    <t>Qty</t>
  </si>
  <si>
    <t>Price</t>
  </si>
  <si>
    <t>Amount</t>
  </si>
  <si>
    <t>Ajit kumar</t>
  </si>
  <si>
    <t xml:space="preserve">Rohit Das </t>
  </si>
  <si>
    <t>Ramesh</t>
  </si>
  <si>
    <t>Amit</t>
  </si>
  <si>
    <t>Chandu</t>
  </si>
  <si>
    <t>Sindhhu</t>
  </si>
  <si>
    <t>Sindhu</t>
  </si>
  <si>
    <t>East</t>
  </si>
  <si>
    <t>West</t>
  </si>
  <si>
    <t>chandu</t>
  </si>
  <si>
    <t>Siddhu</t>
  </si>
  <si>
    <t>west</t>
  </si>
  <si>
    <t>North</t>
  </si>
  <si>
    <t>South</t>
  </si>
  <si>
    <t>Product</t>
  </si>
  <si>
    <t>Scanner</t>
  </si>
  <si>
    <t>Speaker</t>
  </si>
  <si>
    <t>Keyboard</t>
  </si>
  <si>
    <t>Mouse</t>
  </si>
  <si>
    <t>moniter</t>
  </si>
  <si>
    <t>Headphone</t>
  </si>
  <si>
    <t>Row Labels</t>
  </si>
  <si>
    <t>Grand Total</t>
  </si>
  <si>
    <t>Sum of Amount</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</si>
  <si>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</si>
  <si>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</si>
  <si>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</si>
  <si>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</si>
  <si>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</si>
  <si>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</si>
  <si>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</si>
  <si>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</si>
  <si>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</si>
  <si>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</si>
  <si>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</si>
  <si>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</si>
  <si>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</si>
  <si>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</si>
  <si>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</si>
  <si>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</si>
  <si>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</si>
  <si>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</si>
  <si>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</si>
  <si>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</si>
  <si>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</si>
  <si>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</si>
  <si>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</si>
  <si>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</si>
  <si>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</si>
  <si>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</si>
  <si>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</si>
  <si>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</si>
  <si>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</si>
  <si>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</si>
  <si>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</si>
  <si>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</si>
  <si>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</si>
  <si>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</si>
  <si>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</si>
  <si>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</si>
  <si>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Count of Product</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</si>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</sst>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[Poonam_Quas.xlsx]Piovot table!PivotTable1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'Piovot table'!$B$2</c:f>
              <c:strCache>
                <c:ptCount val="1"/>
                <c:pt idx="0">
                  <c:v>Total</c:v>
                </c:pt>
              </c:strCache>
            </c:strRef>
          </c:tx>
          <c:spPr>
            <a:solidFill>
              <a:schemeClr val="accent1"/>
            </a:solidFill>
            <a:ln>
              <a:noFill/>
            </a:ln>
            <a:effectLst/>
          </c:spPr>
          <c:invertIfNegative val="0"/>
          <c:cat>
            <c:strRef>
              <c:f>'Piovot table'!$A$3:$A$9</c:f>
              <c:strCache>
                <c:ptCount val="6"/>
                <c:pt idx="0">
                  <c:v>Headphone</c:v>
                </c:pt>
                <c:pt idx="1">
                  <c:v>Keyboard</c:v>
                </c:pt>
                <c:pt idx="2">
                  <c:v>moniter</c:v>
                </c:pt>
                <c:pt idx="3">
                  <c:v>Mouse</c:v>
                </c:pt>
                <c:pt idx="4">
                  <c:v>Scanner</c:v>
                </c:pt>
                <c:pt idx="5">
                  <c:v>Speaker</c:v>
                </c:pt>
              </c:strCache>
            </c:strRef>
          </c:cat>
          <c:val>
            <c:numRef>
              <c:f>'Piovot table'!$B$3:$B$9</c:f>
              <c:numCache>
                <c:formatCode>General</c:formatCode>
                <c:ptCount val="6"/>
                <c:pt idx="0">
                  <c:v>5100</c:v>
                </c:pt>
                <c:pt idx="1">
                  <c:v>8940</c:v>
                </c:pt>
                <c:pt idx="2">
                  <c:v>44100</c:v>
                </c:pt>
                <c:pt idx="3">
                  <c:v>25920</c:v>
                </c:pt>
                <c:pt idx="4">
                  <c:v>2940</c:v>
                </c:pt>
                <c:pt idx="5">
                  <c:v>1500</c:v>
                </c:pt>
              </c:numCache>
            </c:numRef>
          </c:val>
          <c:extLst>
            <c:ext xmlns:c16="http://schemas.microsoft.com/office/drawing/2014/chart" uri="{C3380CC4-5D6E-409C-BE32-E72D297353CC}">
              <c16:uniqueId val="{00000002-8526-4E8B-9FBB-956DB3036ED3}"/>
            </c:ext>
          </c:extLst>
        </c:ser>
        <c:dLbls>
          <c:showLegendKey val="0"/>
          <c:showVal val="0"/>
          <c:showCatName val="0"/>
          <c:showSerName val="0"/>
          <c:showPercent val="0"/>
          <c:showBubbleSize val="0"/>
        </c:dLbls>
        <c:gapWidth val="150"/>
        <c:overlap val="100"/>
        <c:axId val="569003200"/>
        <c:axId val="568996544"/>
      </c:barChart>
      <c:catAx>
        <c:axId val="569003200"/>
        <c:scaling>
          <c:orientation val="minMax"/>
        </c:scaling>
        <c:delete val="1"/>
        <c:axPos val="b"/>
        <c:numFmt formatCode="General" sourceLinked="1"/>
        <c:majorTickMark val="none"/>
        <c:minorTickMark val="none"/>
        <c:tickLblPos val="nextTo"/>
        <c:crossAx val="568996544"/>
        <c:crosses val="autoZero"/>
        <c:auto val="1"/>
        <c:lblAlgn val="ctr"/>
        <c:lblOffset val="100"/>
        <c:noMultiLvlLbl val="0"/>
      </c:catAx>
      <c:valAx>
        <c:axId val="56899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00320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[Poonam_Quas.xlsx]Piovot table!PivotTable6</c:name>
    <c:fmtId val="3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65195395178361"/>
          <c:y val="0.11840813646371237"/>
          <c:w val="0.82625201277474591"/>
          <c:h val="0.62786014254261824"/>
        </c:manualLayout>
      </c:layout>
      <c:lineChart>
        <c:grouping val="standard"/>
        <c:varyColors val="0"/>
        <c:ser>
          <c:idx val="0"/>
          <c:order val="0"/>
          <c:tx>
            <c:strRef>
              <c:f>'Piovot table'!$P$2</c:f>
              <c:strCache>
                <c:ptCount val="1"/>
                <c:pt idx="0">
                  <c:v>Sum of Amount</c:v>
                </c:pt>
              </c:strCache>
            </c:strRef>
          </c:tx>
          <c:spPr>
            <a:ln w="28575" cap="rnd">
              <a:solidFill>
                <a:schemeClr val="accent1"/>
              </a:solidFill>
              <a:round/>
            </a:ln>
            <a:effectLst/>
          </c:spPr>
          <c:marker>
            <c:symbol val="none"/>
          </c:marker>
          <c:cat>
            <c:strRef>
              <c:f>'Piovot table'!$O$3:$O$39</c:f>
              <c:strCache>
                <c:ptCount val="36"/>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strCache>
            </c:strRef>
          </c:cat>
          <c:val>
            <c:numRef>
              <c:f>'Piovot table'!$P$3:$P$39</c:f>
              <c:numCache>
                <c:formatCode>General</c:formatCode>
                <c:ptCount val="36"/>
                <c:pt idx="0">
                  <c:v>1470</c:v>
                </c:pt>
                <c:pt idx="1">
                  <c:v>12600</c:v>
                </c:pt>
                <c:pt idx="2">
                  <c:v>6000</c:v>
                </c:pt>
                <c:pt idx="3">
                  <c:v>6000</c:v>
                </c:pt>
                <c:pt idx="4">
                  <c:v>900</c:v>
                </c:pt>
                <c:pt idx="5">
                  <c:v>300</c:v>
                </c:pt>
                <c:pt idx="6">
                  <c:v>1470</c:v>
                </c:pt>
                <c:pt idx="7">
                  <c:v>12600</c:v>
                </c:pt>
                <c:pt idx="8">
                  <c:v>6000</c:v>
                </c:pt>
                <c:pt idx="9">
                  <c:v>6000</c:v>
                </c:pt>
                <c:pt idx="10">
                  <c:v>900</c:v>
                </c:pt>
                <c:pt idx="11">
                  <c:v>380</c:v>
                </c:pt>
                <c:pt idx="12">
                  <c:v>420</c:v>
                </c:pt>
                <c:pt idx="13">
                  <c:v>14700</c:v>
                </c:pt>
                <c:pt idx="14">
                  <c:v>7200</c:v>
                </c:pt>
                <c:pt idx="15">
                  <c:v>7500</c:v>
                </c:pt>
                <c:pt idx="16">
                  <c:v>1200</c:v>
                </c:pt>
                <c:pt idx="17">
                  <c:v>570</c:v>
                </c:pt>
                <c:pt idx="18">
                  <c:v>420</c:v>
                </c:pt>
                <c:pt idx="19">
                  <c:v>14700</c:v>
                </c:pt>
                <c:pt idx="20">
                  <c:v>7200</c:v>
                </c:pt>
                <c:pt idx="21">
                  <c:v>1500</c:v>
                </c:pt>
                <c:pt idx="22">
                  <c:v>800</c:v>
                </c:pt>
                <c:pt idx="23">
                  <c:v>570</c:v>
                </c:pt>
                <c:pt idx="24">
                  <c:v>4200</c:v>
                </c:pt>
                <c:pt idx="25">
                  <c:v>1470</c:v>
                </c:pt>
                <c:pt idx="26">
                  <c:v>12600</c:v>
                </c:pt>
                <c:pt idx="27">
                  <c:v>1470</c:v>
                </c:pt>
                <c:pt idx="28">
                  <c:v>1470</c:v>
                </c:pt>
                <c:pt idx="29">
                  <c:v>1470</c:v>
                </c:pt>
                <c:pt idx="30">
                  <c:v>1470</c:v>
                </c:pt>
                <c:pt idx="31">
                  <c:v>1470</c:v>
                </c:pt>
                <c:pt idx="32">
                  <c:v>1470</c:v>
                </c:pt>
                <c:pt idx="33">
                  <c:v>1470</c:v>
                </c:pt>
                <c:pt idx="34">
                  <c:v>1470</c:v>
                </c:pt>
                <c:pt idx="35">
                  <c:v>1470</c:v>
                </c:pt>
              </c:numCache>
            </c:numRef>
          </c:val>
          <c:smooth val="0"/>
          <c:extLst>
            <c:ext xmlns:c16="http://schemas.microsoft.com/office/drawing/2014/chart" uri="{C3380CC4-5D6E-409C-BE32-E72D297353CC}">
              <c16:uniqueId val="{00000000-9B3C-4377-988A-4CAFEC9C9BC1}"/>
            </c:ext>
          </c:extLst>
        </c:ser>
        <c:ser>
          <c:idx val="1"/>
          <c:order val="1"/>
          <c:tx>
            <c:strRef>
              <c:f>'Piovot table'!$Q$2</c:f>
              <c:strCache>
                <c:ptCount val="1"/>
                <c:pt idx="0">
                  <c:v>Count of Product</c:v>
                </c:pt>
              </c:strCache>
            </c:strRef>
          </c:tx>
          <c:spPr>
            <a:ln w="28575" cap="rnd">
              <a:solidFill>
                <a:schemeClr val="accent2"/>
              </a:solidFill>
              <a:round/>
            </a:ln>
            <a:effectLst/>
          </c:spPr>
          <c:marker>
            <c:symbol val="none"/>
          </c:marker>
          <c:cat>
            <c:strRef>
              <c:f>'Piovot table'!$O$3:$O$39</c:f>
              <c:strCache>
                <c:ptCount val="36"/>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strCache>
            </c:strRef>
          </c:cat>
          <c:val>
            <c:numRef>
              <c:f>'Piovot table'!$Q$3:$Q$39</c:f>
              <c:numCache>
                <c:formatCode>General</c:formatCode>
                <c:ptCount val="3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numCache>
            </c:numRef>
          </c:val>
          <c:smooth val="0"/>
          <c:extLst>
            <c:ext xmlns:c16="http://schemas.microsoft.com/office/drawing/2014/chart" uri="{C3380CC4-5D6E-409C-BE32-E72D297353CC}">
              <c16:uniqueId val="{00000002-9B3C-4377-988A-4CAFEC9C9BC1}"/>
            </c:ext>
          </c:extLst>
        </c:ser>
        <c:dLbls>
          <c:showLegendKey val="0"/>
          <c:showVal val="0"/>
          <c:showCatName val="0"/>
          <c:showSerName val="0"/>
          <c:showPercent val="0"/>
          <c:showBubbleSize val="0"/>
        </c:dLbls>
        <c:smooth val="0"/>
        <c:axId val="564879536"/>
        <c:axId val="564881200"/>
      </c:lineChart>
      <c:catAx>
        <c:axId val="564879536"/>
        <c:scaling>
          <c:orientation val="minMax"/>
        </c:scaling>
        <c:delete val="1"/>
        <c:axPos val="b"/>
        <c:numFmt formatCode="General" sourceLinked="1"/>
        <c:majorTickMark val="none"/>
        <c:minorTickMark val="none"/>
        <c:tickLblPos val="nextTo"/>
        <c:crossAx val="564881200"/>
        <c:crosses val="autoZero"/>
        <c:auto val="1"/>
        <c:lblAlgn val="ctr"/>
        <c:lblOffset val="100"/>
        <c:noMultiLvlLbl val="0"/>
      </c:catAx>
      <c:valAx>
        <c:axId val="56488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7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[Poonam_Quas.xlsx]Piovot table!PivotTable8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'Piovot table'!$T$2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'Piovot table'!$S$3:$S$4</c:f>
              <c:strCache>
                <c:ptCount val="1"/>
                <c:pt idx="0">
                  <c:v>Mouse</c:v>
                </c:pt>
              </c:strCache>
            </c:strRef>
          </c:cat>
          <c:val>
            <c:numRef>
              <c:f>'Piovot table'!$T$3:$T$4</c:f>
              <c:numCache>
                <c:formatCode>0.00%</c:formatCode>
                <c:ptCount val="1"/>
                <c:pt idx="0">
                  <c:v>1</c:v>
                </c:pt>
              </c:numCache>
            </c:numRef>
          </c:val>
          <c:extLst>
            <c:ext xmlns:c16="http://schemas.microsoft.com/office/drawing/2014/chart" uri="{C3380CC4-5D6E-409C-BE32-E72D297353CC}">
              <c16:uniqueId val="{00000000-3F04-4CBF-962D-9FC826891984}"/>
            </c:ext>
          </c:extLst>
        </c:ser>
        <c:dLbls>
          <c:showLegendKey val="0"/>
          <c:showVal val="0"/>
          <c:showCatName val="0"/>
          <c:showSerName val="0"/>
          <c:showPercent val="0"/>
          <c:showBubbleSize val="0"/>
        </c:dLbls>
        <c:gapWidth val="182"/>
        <c:axId val="679774368"/>
        <c:axId val="679757728"/>
      </c:barChart>
      <c:catAx>
        <c:axId val="67977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757728"/>
        <c:crosses val="autoZero"/>
        <c:auto val="1"/>
        <c:lblAlgn val="ctr"/>
        <c:lblOffset val="100"/>
        <c:noMultiLvlLbl val="0"/>
      </c:catAx>
      <c:valAx>
        <c:axId val="679757728"/>
        <c:scaling>
          <c:orientation val="minMax"/>
        </c:scaling>
        <c:delete val="1"/>
        <c:axPos val="b"/>
        <c:numFmt formatCode="0.00%" sourceLinked="1"/>
        <c:majorTickMark val="none"/>
        <c:minorTickMark val="none"/>
        <c:tickLblPos val="nextTo"/>
        <c:crossAx val="67977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[Poonam_Quas.xlsx]Piovot table!PivotTable6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'Piovot table'!$P$2</c:f>
              <c:strCache>
                <c:ptCount val="1"/>
                <c:pt idx="0">
                  <c:v>Sum of Amount</c:v>
                </c:pt>
              </c:strCache>
            </c:strRef>
          </c:tx>
          <c:spPr>
            <a:ln w="28575" cap="rnd">
              <a:solidFill>
                <a:schemeClr val="accent1"/>
              </a:solidFill>
              <a:round/>
            </a:ln>
            <a:effectLst/>
          </c:spPr>
          <c:marker>
            <c:symbol val="none"/>
          </c:marker>
          <c:cat>
            <c:strRef>
              <c:f>'Piovot table'!$O$3:$O$39</c:f>
              <c:strCache>
                <c:ptCount val="36"/>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strCache>
            </c:strRef>
          </c:cat>
          <c:val>
            <c:numRef>
              <c:f>'Piovot table'!$P$3:$P$39</c:f>
              <c:numCache>
                <c:formatCode>General</c:formatCode>
                <c:ptCount val="36"/>
                <c:pt idx="0">
                  <c:v>1470</c:v>
                </c:pt>
                <c:pt idx="1">
                  <c:v>12600</c:v>
                </c:pt>
                <c:pt idx="2">
                  <c:v>6000</c:v>
                </c:pt>
                <c:pt idx="3">
                  <c:v>6000</c:v>
                </c:pt>
                <c:pt idx="4">
                  <c:v>900</c:v>
                </c:pt>
                <c:pt idx="5">
                  <c:v>300</c:v>
                </c:pt>
                <c:pt idx="6">
                  <c:v>1470</c:v>
                </c:pt>
                <c:pt idx="7">
                  <c:v>12600</c:v>
                </c:pt>
                <c:pt idx="8">
                  <c:v>6000</c:v>
                </c:pt>
                <c:pt idx="9">
                  <c:v>6000</c:v>
                </c:pt>
                <c:pt idx="10">
                  <c:v>900</c:v>
                </c:pt>
                <c:pt idx="11">
                  <c:v>380</c:v>
                </c:pt>
                <c:pt idx="12">
                  <c:v>420</c:v>
                </c:pt>
                <c:pt idx="13">
                  <c:v>14700</c:v>
                </c:pt>
                <c:pt idx="14">
                  <c:v>7200</c:v>
                </c:pt>
                <c:pt idx="15">
                  <c:v>7500</c:v>
                </c:pt>
                <c:pt idx="16">
                  <c:v>1200</c:v>
                </c:pt>
                <c:pt idx="17">
                  <c:v>570</c:v>
                </c:pt>
                <c:pt idx="18">
                  <c:v>420</c:v>
                </c:pt>
                <c:pt idx="19">
                  <c:v>14700</c:v>
                </c:pt>
                <c:pt idx="20">
                  <c:v>7200</c:v>
                </c:pt>
                <c:pt idx="21">
                  <c:v>1500</c:v>
                </c:pt>
                <c:pt idx="22">
                  <c:v>800</c:v>
                </c:pt>
                <c:pt idx="23">
                  <c:v>570</c:v>
                </c:pt>
                <c:pt idx="24">
                  <c:v>4200</c:v>
                </c:pt>
                <c:pt idx="25">
                  <c:v>1470</c:v>
                </c:pt>
                <c:pt idx="26">
                  <c:v>12600</c:v>
                </c:pt>
                <c:pt idx="27">
                  <c:v>1470</c:v>
                </c:pt>
                <c:pt idx="28">
                  <c:v>1470</c:v>
                </c:pt>
                <c:pt idx="29">
                  <c:v>1470</c:v>
                </c:pt>
                <c:pt idx="30">
                  <c:v>1470</c:v>
                </c:pt>
                <c:pt idx="31">
                  <c:v>1470</c:v>
                </c:pt>
                <c:pt idx="32">
                  <c:v>1470</c:v>
                </c:pt>
                <c:pt idx="33">
                  <c:v>1470</c:v>
                </c:pt>
                <c:pt idx="34">
                  <c:v>1470</c:v>
                </c:pt>
                <c:pt idx="35">
                  <c:v>1470</c:v>
                </c:pt>
              </c:numCache>
            </c:numRef>
          </c:val>
          <c:smooth val="0"/>
          <c:extLst>
            <c:ext xmlns:c16="http://schemas.microsoft.com/office/drawing/2014/chart" uri="{C3380CC4-5D6E-409C-BE32-E72D297353CC}">
              <c16:uniqueId val="{00000000-7EDB-4CF0-B9A7-1C4C1CEBF62B}"/>
            </c:ext>
          </c:extLst>
        </c:ser>
        <c:ser>
          <c:idx val="1"/>
          <c:order val="1"/>
          <c:tx>
            <c:strRef>
              <c:f>'Piovot table'!$Q$2</c:f>
              <c:strCache>
                <c:ptCount val="1"/>
                <c:pt idx="0">
                  <c:v>Count of Product</c:v>
                </c:pt>
              </c:strCache>
            </c:strRef>
          </c:tx>
          <c:spPr>
            <a:ln w="28575" cap="rnd">
              <a:solidFill>
                <a:schemeClr val="accent2"/>
              </a:solidFill>
              <a:round/>
            </a:ln>
            <a:effectLst/>
          </c:spPr>
          <c:marker>
            <c:symbol val="none"/>
          </c:marker>
          <c:cat>
            <c:strRef>
              <c:f>'Piovot table'!$O$3:$O$39</c:f>
              <c:strCache>
                <c:ptCount val="36"/>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strCache>
            </c:strRef>
          </c:cat>
          <c:val>
            <c:numRef>
              <c:f>'Piovot table'!$Q$3:$Q$39</c:f>
              <c:numCache>
                <c:formatCode>General</c:formatCode>
                <c:ptCount val="3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numCache>
            </c:numRef>
          </c:val>
          <c:smooth val="0"/>
          <c:extLst>
            <c:ext xmlns:c16="http://schemas.microsoft.com/office/drawing/2014/chart" uri="{C3380CC4-5D6E-409C-BE32-E72D297353CC}">
              <c16:uniqueId val="{00000002-7EDB-4CF0-B9A7-1C4C1CEBF62B}"/>
            </c:ext>
          </c:extLst>
        </c:ser>
        <c:dLbls>
          <c:showLegendKey val="0"/>
          <c:showVal val="0"/>
          <c:showCatName val="0"/>
          <c:showSerName val="0"/>
          <c:showPercent val="0"/>
          <c:showBubbleSize val="0"/>
        </c:dLbls>
        <c:smooth val="0"/>
        <c:axId val="564879536"/>
        <c:axId val="564881200"/>
      </c:lineChart>
      <c:catAx>
        <c:axId val="564879536"/>
        <c:scaling>
          <c:orientation val="minMax"/>
        </c:scaling>
        <c:delete val="1"/>
        <c:axPos val="b"/>
        <c:numFmt formatCode="General" sourceLinked="1"/>
        <c:majorTickMark val="none"/>
        <c:minorTickMark val="none"/>
        <c:tickLblPos val="nextTo"/>
        <c:crossAx val="564881200"/>
        <c:crosses val="autoZero"/>
        <c:auto val="1"/>
        <c:lblAlgn val="ctr"/>
        <c:lblOffset val="100"/>
        <c:noMultiLvlLbl val="0"/>
      </c:catAx>
      <c:valAx>
        <c:axId val="56488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7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jpe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sv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189379</xdr:colOff>
      <xdr:row>0</xdr:row>
      <xdr:rowOff>112059</xdr:rowOff>
    </xdr:from>
    <xdr:to>
      <xdr:col>16</xdr:col>
      <xdr:colOff>379879</xdr:colOff>
      <xdr:row>34</xdr:row>
      <xdr:rowOff>78441</xdr:rowOff>
    </xdr:to>
    <xdr:sp macro="" textlink="">
      <xdr:nvSpPr>
        <xdr:cNvPr id="3" name="Rectangle: Rounded Corners 2">
          <a:extLst>
            <a:ext uri="{FF2B5EF4-FFF2-40B4-BE49-F238E27FC236}">
              <a16:creationId xmlns:a16="http://schemas.microsoft.com/office/drawing/2014/main" id="{63739350-DEEF-4119-88EF-93A0981C6889}"/>
            </a:ext>
          </a:extLst>
        </xdr:cNvPr>
        <xdr:cNvSpPr/>
      </xdr:nvSpPr>
      <xdr:spPr>
        <a:xfrm>
          <a:off x="189379" y="112059"/>
          <a:ext cx="9872382" cy="6443382"/>
        </a:xfrm>
        <a:prstGeom prst="roundRect">
          <a:avLst>
            <a:gd name="adj" fmla="val 390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2</xdr:col>
      <xdr:colOff>285751</xdr:colOff>
      <xdr:row>1</xdr:row>
      <xdr:rowOff>47624</xdr:rowOff>
    </xdr:from>
    <xdr:to>
      <xdr:col>15</xdr:col>
      <xdr:colOff>523875</xdr:colOff>
      <xdr:row>33</xdr:row>
      <xdr:rowOff>33617</xdr:rowOff>
    </xdr:to>
    <xdr:sp macro="" textlink="">
      <xdr:nvSpPr>
        <xdr:cNvPr id="4" name="Rectangle: Rounded Corners 3">
          <a:extLst>
            <a:ext uri="{FF2B5EF4-FFF2-40B4-BE49-F238E27FC236}">
              <a16:creationId xmlns:a16="http://schemas.microsoft.com/office/drawing/2014/main" id="{5D113B65-62EE-4B19-BAEE-E63DE22C6719}"/>
            </a:ext>
          </a:extLst>
        </xdr:cNvPr>
        <xdr:cNvSpPr/>
      </xdr:nvSpPr>
      <xdr:spPr>
        <a:xfrm>
          <a:off x="1495986" y="238124"/>
          <a:ext cx="8104654" cy="6081993"/>
        </a:xfrm>
        <a:prstGeom prst="roundRect">
          <a:avLst>
            <a:gd name="adj" fmla="val 5984"/>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xdr:txBody>
    </xdr:sp>
    <xdr:clientData/>
  </xdr:twoCellAnchor>
  <xdr:twoCellAnchor editAs="oneCell">
    <xdr:from>
      <xdr:col>2</xdr:col>
      <xdr:colOff>419100</xdr:colOff>
      <xdr:row>13</xdr:row>
      <xdr:rowOff>133349</xdr:rowOff>
    </xdr:from>
    <xdr:to>
      <xdr:col>3</xdr:col>
      <xdr:colOff>590550</xdr:colOff>
      <xdr:row>16</xdr:row>
      <xdr:rowOff>19050</xdr:rowOff>
    </xdr:to>
    <xdr:pic>
      <xdr:nvPicPr>
        <xdr:cNvPr id="10" name="Graphic 9" descr="Bar chart with solid fill">
          <a:extLst>
            <a:ext uri="{FF2B5EF4-FFF2-40B4-BE49-F238E27FC236}">
              <a16:creationId xmlns:a16="http://schemas.microsoft.com/office/drawing/2014/main" id="{0A897399-6FD2-4307-982B-3000E7FA97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38300" y="2609849"/>
          <a:ext cx="781050" cy="457201"/>
        </a:xfrm>
        <a:prstGeom prst="rect">
          <a:avLst/>
        </a:prstGeom>
      </xdr:spPr>
    </xdr:pic>
    <xdr:clientData/>
  </xdr:twoCellAnchor>
  <xdr:twoCellAnchor>
    <xdr:from>
      <xdr:col>4</xdr:col>
      <xdr:colOff>28575</xdr:colOff>
      <xdr:row>14</xdr:row>
      <xdr:rowOff>38100</xdr:rowOff>
    </xdr:from>
    <xdr:to>
      <xdr:col>6</xdr:col>
      <xdr:colOff>295274</xdr:colOff>
      <xdr:row>16</xdr:row>
      <xdr:rowOff>47625</xdr:rowOff>
    </xdr:to>
    <xdr:sp macro="" textlink="">
      <xdr:nvSpPr>
        <xdr:cNvPr id="11" name="Rectangle 10">
          <a:extLst>
            <a:ext uri="{FF2B5EF4-FFF2-40B4-BE49-F238E27FC236}">
              <a16:creationId xmlns:a16="http://schemas.microsoft.com/office/drawing/2014/main" id="{95881BA1-57B5-440F-95B9-CCE9595455C9}"/>
            </a:ext>
          </a:extLst>
        </xdr:cNvPr>
        <xdr:cNvSpPr/>
      </xdr:nvSpPr>
      <xdr:spPr>
        <a:xfrm>
          <a:off x="2466975" y="2705100"/>
          <a:ext cx="1485899"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Analytics</a:t>
          </a:r>
        </a:p>
      </xdr:txBody>
    </xdr:sp>
    <xdr:clientData/>
  </xdr:twoCellAnchor>
  <xdr:twoCellAnchor>
    <xdr:from>
      <xdr:col>9</xdr:col>
      <xdr:colOff>66675</xdr:colOff>
      <xdr:row>15</xdr:row>
      <xdr:rowOff>168088</xdr:rowOff>
    </xdr:from>
    <xdr:to>
      <xdr:col>15</xdr:col>
      <xdr:colOff>156882</xdr:colOff>
      <xdr:row>24</xdr:row>
      <xdr:rowOff>145676</xdr:rowOff>
    </xdr:to>
    <xdr:sp macro="" textlink="">
      <xdr:nvSpPr>
        <xdr:cNvPr id="13" name="Rectangle 12">
          <a:extLst>
            <a:ext uri="{FF2B5EF4-FFF2-40B4-BE49-F238E27FC236}">
              <a16:creationId xmlns:a16="http://schemas.microsoft.com/office/drawing/2014/main" id="{367BC27D-6188-4B52-BE12-FC8F8C7D0B46}"/>
            </a:ext>
          </a:extLst>
        </xdr:cNvPr>
        <xdr:cNvSpPr/>
      </xdr:nvSpPr>
      <xdr:spPr>
        <a:xfrm>
          <a:off x="5512734" y="3025588"/>
          <a:ext cx="3720913" cy="16920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9</xdr:col>
      <xdr:colOff>89647</xdr:colOff>
      <xdr:row>25</xdr:row>
      <xdr:rowOff>56029</xdr:rowOff>
    </xdr:from>
    <xdr:to>
      <xdr:col>15</xdr:col>
      <xdr:colOff>190500</xdr:colOff>
      <xdr:row>32</xdr:row>
      <xdr:rowOff>123264</xdr:rowOff>
    </xdr:to>
    <xdr:sp macro="" textlink="">
      <xdr:nvSpPr>
        <xdr:cNvPr id="14" name="Rectangle 13">
          <a:extLst>
            <a:ext uri="{FF2B5EF4-FFF2-40B4-BE49-F238E27FC236}">
              <a16:creationId xmlns:a16="http://schemas.microsoft.com/office/drawing/2014/main" id="{38139B19-3C0B-4A73-8C05-B19C14BCAC21}"/>
            </a:ext>
          </a:extLst>
        </xdr:cNvPr>
        <xdr:cNvSpPr/>
      </xdr:nvSpPr>
      <xdr:spPr>
        <a:xfrm>
          <a:off x="5535706" y="4818529"/>
          <a:ext cx="3731559" cy="140073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2</xdr:col>
      <xdr:colOff>600075</xdr:colOff>
      <xdr:row>20</xdr:row>
      <xdr:rowOff>0</xdr:rowOff>
    </xdr:from>
    <xdr:to>
      <xdr:col>8</xdr:col>
      <xdr:colOff>590550</xdr:colOff>
      <xdr:row>30</xdr:row>
      <xdr:rowOff>32497</xdr:rowOff>
    </xdr:to>
    <xdr:sp macro="" textlink="">
      <xdr:nvSpPr>
        <xdr:cNvPr id="16" name="Rectangle 15">
          <a:extLst>
            <a:ext uri="{FF2B5EF4-FFF2-40B4-BE49-F238E27FC236}">
              <a16:creationId xmlns:a16="http://schemas.microsoft.com/office/drawing/2014/main" id="{D1916EEC-E42A-4BCF-9C76-D2541CC11CEC}"/>
            </a:ext>
          </a:extLst>
        </xdr:cNvPr>
        <xdr:cNvSpPr/>
      </xdr:nvSpPr>
      <xdr:spPr>
        <a:xfrm>
          <a:off x="1810310" y="3810000"/>
          <a:ext cx="3621181" cy="193749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6</xdr:col>
      <xdr:colOff>57151</xdr:colOff>
      <xdr:row>16</xdr:row>
      <xdr:rowOff>47624</xdr:rowOff>
    </xdr:from>
    <xdr:to>
      <xdr:col>8</xdr:col>
      <xdr:colOff>581025</xdr:colOff>
      <xdr:row>19</xdr:row>
      <xdr:rowOff>56029</xdr:rowOff>
    </xdr:to>
    <xdr:sp macro="" textlink="">
      <xdr:nvSpPr>
        <xdr:cNvPr id="17" name="Rectangle: Rounded Corners 16">
          <a:extLst>
            <a:ext uri="{FF2B5EF4-FFF2-40B4-BE49-F238E27FC236}">
              <a16:creationId xmlns:a16="http://schemas.microsoft.com/office/drawing/2014/main" id="{12A66ABB-6BF6-4FA5-8764-55B5E609EB6B}"/>
            </a:ext>
          </a:extLst>
        </xdr:cNvPr>
        <xdr:cNvSpPr/>
      </xdr:nvSpPr>
      <xdr:spPr>
        <a:xfrm>
          <a:off x="3687857" y="3095624"/>
          <a:ext cx="1734109" cy="579905"/>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3</xdr:col>
      <xdr:colOff>95250</xdr:colOff>
      <xdr:row>16</xdr:row>
      <xdr:rowOff>76199</xdr:rowOff>
    </xdr:from>
    <xdr:to>
      <xdr:col>5</xdr:col>
      <xdr:colOff>581025</xdr:colOff>
      <xdr:row>19</xdr:row>
      <xdr:rowOff>89646</xdr:rowOff>
    </xdr:to>
    <xdr:sp macro="" textlink="">
      <xdr:nvSpPr>
        <xdr:cNvPr id="18" name="Rectangle: Rounded Corners 17">
          <a:extLst>
            <a:ext uri="{FF2B5EF4-FFF2-40B4-BE49-F238E27FC236}">
              <a16:creationId xmlns:a16="http://schemas.microsoft.com/office/drawing/2014/main" id="{BCBC91D8-A8AE-4B46-BC0F-6FD152613779}"/>
            </a:ext>
          </a:extLst>
        </xdr:cNvPr>
        <xdr:cNvSpPr/>
      </xdr:nvSpPr>
      <xdr:spPr>
        <a:xfrm>
          <a:off x="1910603" y="3124199"/>
          <a:ext cx="1696010" cy="584947"/>
        </a:xfrm>
        <a:prstGeom prst="round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209549</xdr:colOff>
      <xdr:row>16</xdr:row>
      <xdr:rowOff>66675</xdr:rowOff>
    </xdr:from>
    <xdr:to>
      <xdr:col>6</xdr:col>
      <xdr:colOff>0</xdr:colOff>
      <xdr:row>19</xdr:row>
      <xdr:rowOff>100853</xdr:rowOff>
    </xdr:to>
    <xdr:sp macro="" textlink="">
      <xdr:nvSpPr>
        <xdr:cNvPr id="19" name="Rectangle: Rounded Corners 18">
          <a:extLst>
            <a:ext uri="{FF2B5EF4-FFF2-40B4-BE49-F238E27FC236}">
              <a16:creationId xmlns:a16="http://schemas.microsoft.com/office/drawing/2014/main" id="{5052CD94-4955-4B71-B551-B1DA7A185767}"/>
            </a:ext>
          </a:extLst>
        </xdr:cNvPr>
        <xdr:cNvSpPr/>
      </xdr:nvSpPr>
      <xdr:spPr>
        <a:xfrm>
          <a:off x="2024902" y="3114675"/>
          <a:ext cx="1605804" cy="60567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6</xdr:col>
      <xdr:colOff>171449</xdr:colOff>
      <xdr:row>16</xdr:row>
      <xdr:rowOff>38098</xdr:rowOff>
    </xdr:from>
    <xdr:to>
      <xdr:col>8</xdr:col>
      <xdr:colOff>593911</xdr:colOff>
      <xdr:row>19</xdr:row>
      <xdr:rowOff>56029</xdr:rowOff>
    </xdr:to>
    <xdr:sp macro="" textlink="">
      <xdr:nvSpPr>
        <xdr:cNvPr id="20" name="Rectangle: Rounded Corners 19">
          <a:extLst>
            <a:ext uri="{FF2B5EF4-FFF2-40B4-BE49-F238E27FC236}">
              <a16:creationId xmlns:a16="http://schemas.microsoft.com/office/drawing/2014/main" id="{AE55EDA1-6DFE-4E24-8610-416A79A553AC}"/>
            </a:ext>
          </a:extLst>
        </xdr:cNvPr>
        <xdr:cNvSpPr/>
      </xdr:nvSpPr>
      <xdr:spPr>
        <a:xfrm>
          <a:off x="3802155" y="3086098"/>
          <a:ext cx="1632697" cy="58943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3</xdr:col>
      <xdr:colOff>581025</xdr:colOff>
      <xdr:row>16</xdr:row>
      <xdr:rowOff>66675</xdr:rowOff>
    </xdr:from>
    <xdr:to>
      <xdr:col>5</xdr:col>
      <xdr:colOff>523875</xdr:colOff>
      <xdr:row>17</xdr:row>
      <xdr:rowOff>78441</xdr:rowOff>
    </xdr:to>
    <xdr:sp macro="" textlink="">
      <xdr:nvSpPr>
        <xdr:cNvPr id="23" name="TextBox 22">
          <a:extLst>
            <a:ext uri="{FF2B5EF4-FFF2-40B4-BE49-F238E27FC236}">
              <a16:creationId xmlns:a16="http://schemas.microsoft.com/office/drawing/2014/main" id="{A622E757-FC4D-47E1-943E-3D4B3782ACE2}"/>
            </a:ext>
          </a:extLst>
        </xdr:cNvPr>
        <xdr:cNvSpPr txBox="1"/>
      </xdr:nvSpPr>
      <xdr:spPr>
        <a:xfrm rot="10800000" flipH="1" flipV="1">
          <a:off x="2396378" y="3114675"/>
          <a:ext cx="1153085" cy="20226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Amount</a:t>
          </a:r>
        </a:p>
      </xdr:txBody>
    </xdr:sp>
    <xdr:clientData/>
  </xdr:twoCellAnchor>
  <xdr:oneCellAnchor>
    <xdr:from>
      <xdr:col>5</xdr:col>
      <xdr:colOff>104775</xdr:colOff>
      <xdr:row>23</xdr:row>
      <xdr:rowOff>76200</xdr:rowOff>
    </xdr:from>
    <xdr:ext cx="3048000" cy="1705535"/>
    <xdr:sp macro="" textlink="">
      <xdr:nvSpPr>
        <xdr:cNvPr id="26" name="TextBox 25">
          <a:extLst>
            <a:ext uri="{FF2B5EF4-FFF2-40B4-BE49-F238E27FC236}">
              <a16:creationId xmlns:a16="http://schemas.microsoft.com/office/drawing/2014/main" id="{332D7803-3793-49A7-880D-A265913DF9E7}"/>
            </a:ext>
          </a:extLst>
        </xdr:cNvPr>
        <xdr:cNvSpPr txBox="1"/>
      </xdr:nvSpPr>
      <xdr:spPr>
        <a:xfrm>
          <a:off x="3130363" y="4457700"/>
          <a:ext cx="3048000" cy="170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editAs="oneCell">
    <xdr:from>
      <xdr:col>3</xdr:col>
      <xdr:colOff>285750</xdr:colOff>
      <xdr:row>16</xdr:row>
      <xdr:rowOff>133350</xdr:rowOff>
    </xdr:from>
    <xdr:to>
      <xdr:col>4</xdr:col>
      <xdr:colOff>28575</xdr:colOff>
      <xdr:row>18</xdr:row>
      <xdr:rowOff>47625</xdr:rowOff>
    </xdr:to>
    <xdr:pic>
      <xdr:nvPicPr>
        <xdr:cNvPr id="28" name="Picture 27">
          <a:extLst>
            <a:ext uri="{FF2B5EF4-FFF2-40B4-BE49-F238E27FC236}">
              <a16:creationId xmlns:a16="http://schemas.microsoft.com/office/drawing/2014/main" id="{13FD0AC8-4320-4329-98B4-941B6C55C4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14550" y="3181350"/>
          <a:ext cx="352425" cy="295275"/>
        </a:xfrm>
        <a:prstGeom prst="rect">
          <a:avLst/>
        </a:prstGeom>
      </xdr:spPr>
    </xdr:pic>
    <xdr:clientData/>
  </xdr:twoCellAnchor>
  <xdr:twoCellAnchor editAs="oneCell">
    <xdr:from>
      <xdr:col>6</xdr:col>
      <xdr:colOff>200025</xdr:colOff>
      <xdr:row>16</xdr:row>
      <xdr:rowOff>114300</xdr:rowOff>
    </xdr:from>
    <xdr:to>
      <xdr:col>7</xdr:col>
      <xdr:colOff>85725</xdr:colOff>
      <xdr:row>18</xdr:row>
      <xdr:rowOff>19050</xdr:rowOff>
    </xdr:to>
    <xdr:pic>
      <xdr:nvPicPr>
        <xdr:cNvPr id="30" name="Graphic 29" descr="Customer review with solid fill">
          <a:extLst>
            <a:ext uri="{FF2B5EF4-FFF2-40B4-BE49-F238E27FC236}">
              <a16:creationId xmlns:a16="http://schemas.microsoft.com/office/drawing/2014/main" id="{1D011D0E-FBD6-4792-B491-9C769B01807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857625" y="3162300"/>
          <a:ext cx="495300" cy="285750"/>
        </a:xfrm>
        <a:prstGeom prst="rect">
          <a:avLst/>
        </a:prstGeom>
      </xdr:spPr>
    </xdr:pic>
    <xdr:clientData/>
  </xdr:twoCellAnchor>
  <xdr:twoCellAnchor>
    <xdr:from>
      <xdr:col>7</xdr:col>
      <xdr:colOff>76200</xdr:colOff>
      <xdr:row>16</xdr:row>
      <xdr:rowOff>44824</xdr:rowOff>
    </xdr:from>
    <xdr:to>
      <xdr:col>8</xdr:col>
      <xdr:colOff>447675</xdr:colOff>
      <xdr:row>17</xdr:row>
      <xdr:rowOff>78442</xdr:rowOff>
    </xdr:to>
    <xdr:sp macro="" textlink="">
      <xdr:nvSpPr>
        <xdr:cNvPr id="31" name="TextBox 30">
          <a:extLst>
            <a:ext uri="{FF2B5EF4-FFF2-40B4-BE49-F238E27FC236}">
              <a16:creationId xmlns:a16="http://schemas.microsoft.com/office/drawing/2014/main" id="{5EDC0377-B207-406C-BC38-49F3B21C9590}"/>
            </a:ext>
          </a:extLst>
        </xdr:cNvPr>
        <xdr:cNvSpPr txBox="1"/>
      </xdr:nvSpPr>
      <xdr:spPr>
        <a:xfrm>
          <a:off x="4312024" y="3092824"/>
          <a:ext cx="976592" cy="2241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a:t>
          </a:r>
          <a:r>
            <a:rPr lang="en-IN" sz="1200" b="1">
              <a:ln>
                <a:noFill/>
              </a:ln>
            </a:rPr>
            <a:t>Sales</a:t>
          </a:r>
        </a:p>
        <a:p>
          <a:endParaRPr lang="en-IN" sz="1200" b="1">
            <a:ln>
              <a:noFill/>
            </a:ln>
          </a:endParaRPr>
        </a:p>
      </xdr:txBody>
    </xdr:sp>
    <xdr:clientData/>
  </xdr:twoCellAnchor>
  <xdr:oneCellAnchor>
    <xdr:from>
      <xdr:col>9</xdr:col>
      <xdr:colOff>168089</xdr:colOff>
      <xdr:row>15</xdr:row>
      <xdr:rowOff>190498</xdr:rowOff>
    </xdr:from>
    <xdr:ext cx="1187822" cy="235326"/>
    <xdr:sp macro="" textlink="">
      <xdr:nvSpPr>
        <xdr:cNvPr id="32" name="TextBox 31">
          <a:extLst>
            <a:ext uri="{FF2B5EF4-FFF2-40B4-BE49-F238E27FC236}">
              <a16:creationId xmlns:a16="http://schemas.microsoft.com/office/drawing/2014/main" id="{5FAF35D6-97C1-4A1F-A26C-F0BE5C9ACBDD}"/>
            </a:ext>
          </a:extLst>
        </xdr:cNvPr>
        <xdr:cNvSpPr txBox="1"/>
      </xdr:nvSpPr>
      <xdr:spPr>
        <a:xfrm>
          <a:off x="5614148" y="3047998"/>
          <a:ext cx="1187822" cy="235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tx1"/>
              </a:solidFill>
              <a:effectLst/>
              <a:latin typeface="+mn-lt"/>
              <a:ea typeface="+mn-ea"/>
              <a:cs typeface="+mn-cs"/>
            </a:rPr>
            <a:t>Sale By Region</a:t>
          </a:r>
          <a:endParaRPr lang="en-IN">
            <a:effectLst/>
          </a:endParaRPr>
        </a:p>
      </xdr:txBody>
    </xdr:sp>
    <xdr:clientData/>
  </xdr:oneCellAnchor>
  <xdr:oneCellAnchor>
    <xdr:from>
      <xdr:col>9</xdr:col>
      <xdr:colOff>168089</xdr:colOff>
      <xdr:row>25</xdr:row>
      <xdr:rowOff>89648</xdr:rowOff>
    </xdr:from>
    <xdr:ext cx="1232646" cy="224118"/>
    <xdr:sp macro="" textlink="">
      <xdr:nvSpPr>
        <xdr:cNvPr id="33" name="TextBox 32">
          <a:extLst>
            <a:ext uri="{FF2B5EF4-FFF2-40B4-BE49-F238E27FC236}">
              <a16:creationId xmlns:a16="http://schemas.microsoft.com/office/drawing/2014/main" id="{509192A1-B677-4F42-B0D2-A53D29439926}"/>
            </a:ext>
          </a:extLst>
        </xdr:cNvPr>
        <xdr:cNvSpPr txBox="1"/>
      </xdr:nvSpPr>
      <xdr:spPr>
        <a:xfrm>
          <a:off x="5614148" y="4852148"/>
          <a:ext cx="1232646"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Sale By Months</a:t>
          </a:r>
        </a:p>
      </xdr:txBody>
    </xdr:sp>
    <xdr:clientData/>
  </xdr:oneCellAnchor>
  <xdr:twoCellAnchor>
    <xdr:from>
      <xdr:col>0</xdr:col>
      <xdr:colOff>224118</xdr:colOff>
      <xdr:row>8</xdr:row>
      <xdr:rowOff>168088</xdr:rowOff>
    </xdr:from>
    <xdr:to>
      <xdr:col>2</xdr:col>
      <xdr:colOff>179294</xdr:colOff>
      <xdr:row>11</xdr:row>
      <xdr:rowOff>33618</xdr:rowOff>
    </xdr:to>
    <xdr:sp macro="" textlink="">
      <xdr:nvSpPr>
        <xdr:cNvPr id="34" name="Flowchart: Alternate Process 33">
          <a:extLst>
            <a:ext uri="{FF2B5EF4-FFF2-40B4-BE49-F238E27FC236}">
              <a16:creationId xmlns:a16="http://schemas.microsoft.com/office/drawing/2014/main" id="{8A57227A-B52A-40CA-ADA1-FDFBACD61777}"/>
            </a:ext>
          </a:extLst>
        </xdr:cNvPr>
        <xdr:cNvSpPr/>
      </xdr:nvSpPr>
      <xdr:spPr>
        <a:xfrm>
          <a:off x="224118" y="1692088"/>
          <a:ext cx="1165411" cy="437030"/>
        </a:xfrm>
        <a:prstGeom prst="flowChartAlternateProcess">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DASHBOARD</a:t>
          </a:r>
        </a:p>
      </xdr:txBody>
    </xdr:sp>
    <xdr:clientData/>
  </xdr:twoCellAnchor>
  <xdr:twoCellAnchor>
    <xdr:from>
      <xdr:col>0</xdr:col>
      <xdr:colOff>257735</xdr:colOff>
      <xdr:row>11</xdr:row>
      <xdr:rowOff>100852</xdr:rowOff>
    </xdr:from>
    <xdr:to>
      <xdr:col>2</xdr:col>
      <xdr:colOff>201706</xdr:colOff>
      <xdr:row>13</xdr:row>
      <xdr:rowOff>78441</xdr:rowOff>
    </xdr:to>
    <xdr:sp macro="" textlink="">
      <xdr:nvSpPr>
        <xdr:cNvPr id="41" name="Flowchart: Alternate Process 40">
          <a:extLst>
            <a:ext uri="{FF2B5EF4-FFF2-40B4-BE49-F238E27FC236}">
              <a16:creationId xmlns:a16="http://schemas.microsoft.com/office/drawing/2014/main" id="{C2D65970-D023-48DA-A022-7CF9A17CA64A}"/>
            </a:ext>
          </a:extLst>
        </xdr:cNvPr>
        <xdr:cNvSpPr/>
      </xdr:nvSpPr>
      <xdr:spPr>
        <a:xfrm>
          <a:off x="257735" y="2196352"/>
          <a:ext cx="1154206" cy="358589"/>
        </a:xfrm>
        <a:prstGeom prst="flowChartAlternateProcess">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PRODUCTS</a:t>
          </a:r>
        </a:p>
      </xdr:txBody>
    </xdr:sp>
    <xdr:clientData/>
  </xdr:twoCellAnchor>
  <xdr:twoCellAnchor>
    <xdr:from>
      <xdr:col>0</xdr:col>
      <xdr:colOff>268940</xdr:colOff>
      <xdr:row>14</xdr:row>
      <xdr:rowOff>78440</xdr:rowOff>
    </xdr:from>
    <xdr:to>
      <xdr:col>2</xdr:col>
      <xdr:colOff>212911</xdr:colOff>
      <xdr:row>16</xdr:row>
      <xdr:rowOff>56029</xdr:rowOff>
    </xdr:to>
    <xdr:sp macro="" textlink="">
      <xdr:nvSpPr>
        <xdr:cNvPr id="46" name="Flowchart: Alternate Process 45">
          <a:extLst>
            <a:ext uri="{FF2B5EF4-FFF2-40B4-BE49-F238E27FC236}">
              <a16:creationId xmlns:a16="http://schemas.microsoft.com/office/drawing/2014/main" id="{8F9CCADC-2B39-41B3-A08F-5D7C1840CE67}"/>
            </a:ext>
          </a:extLst>
        </xdr:cNvPr>
        <xdr:cNvSpPr/>
      </xdr:nvSpPr>
      <xdr:spPr>
        <a:xfrm>
          <a:off x="268940" y="2745440"/>
          <a:ext cx="1154206" cy="358589"/>
        </a:xfrm>
        <a:prstGeom prst="flowChartAlternateProcess">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SaALESMANS</a:t>
          </a:r>
        </a:p>
      </xdr:txBody>
    </xdr:sp>
    <xdr:clientData/>
  </xdr:twoCellAnchor>
  <xdr:twoCellAnchor>
    <xdr:from>
      <xdr:col>0</xdr:col>
      <xdr:colOff>246528</xdr:colOff>
      <xdr:row>16</xdr:row>
      <xdr:rowOff>190499</xdr:rowOff>
    </xdr:from>
    <xdr:to>
      <xdr:col>2</xdr:col>
      <xdr:colOff>190499</xdr:colOff>
      <xdr:row>18</xdr:row>
      <xdr:rowOff>168088</xdr:rowOff>
    </xdr:to>
    <xdr:sp macro="" textlink="">
      <xdr:nvSpPr>
        <xdr:cNvPr id="47" name="Flowchart: Alternate Process 46">
          <a:extLst>
            <a:ext uri="{FF2B5EF4-FFF2-40B4-BE49-F238E27FC236}">
              <a16:creationId xmlns:a16="http://schemas.microsoft.com/office/drawing/2014/main" id="{49112837-A175-45BE-935A-A210ED664AB3}"/>
            </a:ext>
          </a:extLst>
        </xdr:cNvPr>
        <xdr:cNvSpPr/>
      </xdr:nvSpPr>
      <xdr:spPr>
        <a:xfrm>
          <a:off x="246528" y="3238499"/>
          <a:ext cx="1154206" cy="358589"/>
        </a:xfrm>
        <a:prstGeom prst="flowChartAlternateProcess">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ABOUT</a:t>
          </a:r>
        </a:p>
      </xdr:txBody>
    </xdr:sp>
    <xdr:clientData/>
  </xdr:twoCellAnchor>
  <xdr:twoCellAnchor>
    <xdr:from>
      <xdr:col>9</xdr:col>
      <xdr:colOff>66675</xdr:colOff>
      <xdr:row>17</xdr:row>
      <xdr:rowOff>11206</xdr:rowOff>
    </xdr:from>
    <xdr:to>
      <xdr:col>14</xdr:col>
      <xdr:colOff>481853</xdr:colOff>
      <xdr:row>24</xdr:row>
      <xdr:rowOff>56029</xdr:rowOff>
    </xdr:to>
    <xdr:graphicFrame macro="">
      <xdr:nvGraphicFramePr>
        <xdr:cNvPr id="35" name="Chart 34">
          <a:extLst>
            <a:ext uri="{FF2B5EF4-FFF2-40B4-BE49-F238E27FC236}">
              <a16:creationId xmlns:a16="http://schemas.microsoft.com/office/drawing/2014/main" id="{6AA92F8F-F709-41EA-99E3-9BB901777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58270</xdr:colOff>
      <xdr:row>1</xdr:row>
      <xdr:rowOff>112615</xdr:rowOff>
    </xdr:from>
    <xdr:to>
      <xdr:col>15</xdr:col>
      <xdr:colOff>257735</xdr:colOff>
      <xdr:row>8</xdr:row>
      <xdr:rowOff>67234</xdr:rowOff>
    </xdr:to>
    <mc:AlternateContent xmlns:mc="http://schemas.openxmlformats.org/markup-compatibility/2006">
      <mc:Choice xmlns:a14="http://schemas.microsoft.com/office/drawing/2010/main" Requires="a14">
        <xdr:graphicFrame macro="">
          <xdr:nvGraphicFramePr>
            <xdr:cNvPr id="36" name="Region 3">
              <a:extLst>
                <a:ext uri="{FF2B5EF4-FFF2-40B4-BE49-F238E27FC236}">
                  <a16:creationId xmlns:a16="http://schemas.microsoft.com/office/drawing/2014/main" id="{C753F05E-11F6-4F0E-968E-A7E6320A23E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7319682" y="303115"/>
              <a:ext cx="2014818" cy="1288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168088</xdr:colOff>
      <xdr:row>27</xdr:row>
      <xdr:rowOff>11207</xdr:rowOff>
    </xdr:from>
    <xdr:to>
      <xdr:col>15</xdr:col>
      <xdr:colOff>168088</xdr:colOff>
      <xdr:row>32</xdr:row>
      <xdr:rowOff>89647</xdr:rowOff>
    </xdr:to>
    <xdr:graphicFrame macro="">
      <xdr:nvGraphicFramePr>
        <xdr:cNvPr id="44" name="Chart 43">
          <a:extLst>
            <a:ext uri="{FF2B5EF4-FFF2-40B4-BE49-F238E27FC236}">
              <a16:creationId xmlns:a16="http://schemas.microsoft.com/office/drawing/2014/main" id="{FA86A060-7DB2-4D71-9BEB-B43DD8A0E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21</xdr:row>
      <xdr:rowOff>123265</xdr:rowOff>
    </xdr:from>
    <xdr:to>
      <xdr:col>8</xdr:col>
      <xdr:colOff>537883</xdr:colOff>
      <xdr:row>32</xdr:row>
      <xdr:rowOff>123265</xdr:rowOff>
    </xdr:to>
    <xdr:graphicFrame macro="">
      <xdr:nvGraphicFramePr>
        <xdr:cNvPr id="45" name="Chart 44">
          <a:extLst>
            <a:ext uri="{FF2B5EF4-FFF2-40B4-BE49-F238E27FC236}">
              <a16:creationId xmlns:a16="http://schemas.microsoft.com/office/drawing/2014/main" id="{A3B5AAFF-CDFC-4A8E-ACF7-AA0FD881A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3</xdr:col>
      <xdr:colOff>100853</xdr:colOff>
      <xdr:row>20</xdr:row>
      <xdr:rowOff>33618</xdr:rowOff>
    </xdr:from>
    <xdr:ext cx="1400735" cy="235322"/>
    <xdr:sp macro="" textlink="">
      <xdr:nvSpPr>
        <xdr:cNvPr id="15" name="TextBox 14">
          <a:extLst>
            <a:ext uri="{FF2B5EF4-FFF2-40B4-BE49-F238E27FC236}">
              <a16:creationId xmlns:a16="http://schemas.microsoft.com/office/drawing/2014/main" id="{C7DC09D6-9487-41CF-8388-6EA8DFB415DD}"/>
            </a:ext>
          </a:extLst>
        </xdr:cNvPr>
        <xdr:cNvSpPr txBox="1"/>
      </xdr:nvSpPr>
      <xdr:spPr>
        <a:xfrm>
          <a:off x="1916206" y="3843618"/>
          <a:ext cx="1400735" cy="235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Sale</a:t>
          </a:r>
          <a:r>
            <a:rPr lang="en-IN" sz="1200" b="1" baseline="0"/>
            <a:t> By Products</a:t>
          </a:r>
          <a:endParaRPr lang="en-IN" sz="1200" b="1"/>
        </a:p>
      </xdr:txBody>
    </xdr:sp>
    <xdr:clientData/>
  </xdr:oneCellAnchor>
  <xdr:twoCellAnchor editAs="oneCell">
    <xdr:from>
      <xdr:col>2</xdr:col>
      <xdr:colOff>459441</xdr:colOff>
      <xdr:row>8</xdr:row>
      <xdr:rowOff>112058</xdr:rowOff>
    </xdr:from>
    <xdr:to>
      <xdr:col>15</xdr:col>
      <xdr:colOff>302559</xdr:colOff>
      <xdr:row>14</xdr:row>
      <xdr:rowOff>54908</xdr:rowOff>
    </xdr:to>
    <mc:AlternateContent xmlns:mc="http://schemas.openxmlformats.org/markup-compatibility/2006">
      <mc:Choice xmlns:a14="http://schemas.microsoft.com/office/drawing/2010/main" Requires="a14">
        <xdr:graphicFrame macro="">
          <xdr:nvGraphicFramePr>
            <xdr:cNvPr id="50" name="Product 1">
              <a:extLst>
                <a:ext uri="{FF2B5EF4-FFF2-40B4-BE49-F238E27FC236}">
                  <a16:creationId xmlns:a16="http://schemas.microsoft.com/office/drawing/2014/main" id="{AC62373E-6363-416C-8E68-2753EA2CC00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669676" y="1636058"/>
              <a:ext cx="7709648"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448236</xdr:colOff>
      <xdr:row>1</xdr:row>
      <xdr:rowOff>123265</xdr:rowOff>
    </xdr:from>
    <xdr:to>
      <xdr:col>12</xdr:col>
      <xdr:colOff>11206</xdr:colOff>
      <xdr:row>8</xdr:row>
      <xdr:rowOff>67235</xdr:rowOff>
    </xdr:to>
    <mc:AlternateContent xmlns:mc="http://schemas.openxmlformats.org/markup-compatibility/2006">
      <mc:Choice xmlns:tsle="http://schemas.microsoft.com/office/drawing/2012/timeslicer" Requires="tsle">
        <xdr:graphicFrame macro="">
          <xdr:nvGraphicFramePr>
            <xdr:cNvPr id="51" name="Date 1">
              <a:extLst>
                <a:ext uri="{FF2B5EF4-FFF2-40B4-BE49-F238E27FC236}">
                  <a16:creationId xmlns:a16="http://schemas.microsoft.com/office/drawing/2014/main" id="{8FFD0245-D5AF-47BF-8109-1A2C147586D9}"/>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658471" y="313765"/>
              <a:ext cx="5614147" cy="12774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179293</xdr:colOff>
      <xdr:row>17</xdr:row>
      <xdr:rowOff>168088</xdr:rowOff>
    </xdr:from>
    <xdr:to>
      <xdr:col>5</xdr:col>
      <xdr:colOff>549088</xdr:colOff>
      <xdr:row>19</xdr:row>
      <xdr:rowOff>44824</xdr:rowOff>
    </xdr:to>
    <xdr:sp macro="" textlink="'Piovot table'!B14">
      <xdr:nvSpPr>
        <xdr:cNvPr id="52" name="TextBox 51">
          <a:extLst>
            <a:ext uri="{FF2B5EF4-FFF2-40B4-BE49-F238E27FC236}">
              <a16:creationId xmlns:a16="http://schemas.microsoft.com/office/drawing/2014/main" id="{1E019740-4ADF-422B-B6CE-E6CD3A65D5BC}"/>
            </a:ext>
          </a:extLst>
        </xdr:cNvPr>
        <xdr:cNvSpPr txBox="1"/>
      </xdr:nvSpPr>
      <xdr:spPr>
        <a:xfrm rot="10800000" flipH="1" flipV="1">
          <a:off x="2599764" y="3406588"/>
          <a:ext cx="974912" cy="25773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1B38FF-AE51-4200-B3D0-20F1859C7B64}" type="TxLink">
            <a:rPr lang="en-US" sz="1100" b="1" i="0" u="none" strike="noStrike">
              <a:solidFill>
                <a:srgbClr val="000000"/>
              </a:solidFill>
              <a:latin typeface="Calibri"/>
              <a:ea typeface="Calibri"/>
              <a:cs typeface="Calibri"/>
            </a:rPr>
            <a:t>88500</a:t>
          </a:fld>
          <a:endParaRPr lang="en-US" sz="1100" b="1"/>
        </a:p>
      </xdr:txBody>
    </xdr:sp>
    <xdr:clientData/>
  </xdr:twoCellAnchor>
  <xdr:twoCellAnchor>
    <xdr:from>
      <xdr:col>7</xdr:col>
      <xdr:colOff>257734</xdr:colOff>
      <xdr:row>17</xdr:row>
      <xdr:rowOff>156881</xdr:rowOff>
    </xdr:from>
    <xdr:to>
      <xdr:col>8</xdr:col>
      <xdr:colOff>56030</xdr:colOff>
      <xdr:row>19</xdr:row>
      <xdr:rowOff>33618</xdr:rowOff>
    </xdr:to>
    <xdr:sp macro="" textlink="'Piovot table'!B17">
      <xdr:nvSpPr>
        <xdr:cNvPr id="21" name="TextBox 20">
          <a:extLst>
            <a:ext uri="{FF2B5EF4-FFF2-40B4-BE49-F238E27FC236}">
              <a16:creationId xmlns:a16="http://schemas.microsoft.com/office/drawing/2014/main" id="{5FEE12EB-57AB-4224-A2E7-8A2608B44269}"/>
            </a:ext>
          </a:extLst>
        </xdr:cNvPr>
        <xdr:cNvSpPr txBox="1"/>
      </xdr:nvSpPr>
      <xdr:spPr>
        <a:xfrm>
          <a:off x="4493558" y="3395381"/>
          <a:ext cx="403413" cy="2577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6CCEF7-B079-49C5-99B6-E4F1260935C8}" type="TxLink">
            <a:rPr lang="en-US" sz="1100" b="1" i="0" u="none" strike="noStrike">
              <a:solidFill>
                <a:srgbClr val="000000"/>
              </a:solidFill>
              <a:latin typeface="Calibri"/>
              <a:ea typeface="Calibri"/>
              <a:cs typeface="Calibri"/>
            </a:rPr>
            <a:t>23</a:t>
          </a:fld>
          <a:endParaRPr lang="en-IN" sz="11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523874</xdr:colOff>
      <xdr:row>2</xdr:row>
      <xdr:rowOff>38100</xdr:rowOff>
    </xdr:from>
    <xdr:to>
      <xdr:col>14</xdr:col>
      <xdr:colOff>171449</xdr:colOff>
      <xdr:row>9</xdr:row>
      <xdr:rowOff>76200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C9E95DF3-BD19-4D2F-8366-58372552DD1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571874" y="419100"/>
              <a:ext cx="51339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190500</xdr:colOff>
      <xdr:row>3</xdr:row>
      <xdr:rowOff>104776</xdr:rowOff>
    </xdr:from>
    <xdr:to>
      <xdr:col>19</xdr:col>
      <xdr:colOff>152400</xdr:colOff>
      <xdr:row>9</xdr:row>
      <xdr:rowOff>47626</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DD87E7C9-D99B-4121-8A73-0B47F7AAD79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591425" y="676276"/>
              <a:ext cx="42291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123825</xdr:colOff>
      <xdr:row>34</xdr:row>
      <xdr:rowOff>185737</xdr:rowOff>
    </xdr:from>
    <xdr:to>
      <xdr:col>12</xdr:col>
      <xdr:colOff>428625</xdr:colOff>
      <xdr:row>49</xdr:row>
      <xdr:rowOff>71437</xdr:rowOff>
    </xdr:to>
    <xdr:graphicFrame macro="">
      <xdr:nvGraphicFramePr>
        <xdr:cNvPr id="10" name="Chart 9">
          <a:extLst>
            <a:ext uri="{FF2B5EF4-FFF2-40B4-BE49-F238E27FC236}">
              <a16:creationId xmlns:a16="http://schemas.microsoft.com/office/drawing/2014/main" id="{A98A41A6-DCB9-4494-BDFA-3377E4D50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8.68038622685" createdVersion="7" refreshedVersion="7" minRefreshableVersion="3" recordCount="36" xr:uid="{EC0FB364-57FA-4871-BB60-2BF62EE3554F}">
  <cacheSource type="worksheet">
    <worksheetSource ref="A1:H37" sheet="Data"/>
  </cacheSource>
  <cacheFields count="9">
    <cacheField name="S No" numFmtId="0">
      <sharedItems containsSemiMixedTypes="0" containsString="0" containsNumber="1" containsInteger="1" minValue="1" maxValue="36"/>
    </cacheField>
    <cacheField name="Date" numFmtId="0">
      <sharedItems containsSemiMixedTypes="0" containsNonDate="0" containsDate="1" containsString="0" minDate="2021-01-01T00:00:00" maxDate="2021-02-06T00:00:00" count="3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sharedItems>
      <fieldGroup par="8" base="1">
        <rangePr groupBy="days" startDate="2021-01-01T00:00:00" endDate="2021-02-06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2-2021"/>
        </groupItems>
      </fieldGroup>
    </cacheField>
    <cacheField name="Salesman" numFmtId="0">
      <sharedItems/>
    </cacheField>
    <cacheField name="Region" numFmtId="0">
      <sharedItems count="4">
        <s v="East"/>
        <s v="West"/>
        <s v="North"/>
        <s v="South"/>
      </sharedItems>
    </cacheField>
    <cacheField name="Product" numFmtId="0">
      <sharedItems count="5">
        <s v="Keyboard"/>
        <s v="Mouse"/>
        <s v="Scanner"/>
        <s v="moniter"/>
        <s v="Speaker"/>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00" maxValue="14700"/>
    </cacheField>
    <cacheField name="Months" numFmtId="0" databaseField="0">
      <fieldGroup base="1">
        <rangePr groupBy="months" startDate="2021-01-01T00:00:00" endDate="2021-02-06T00:00:00"/>
        <groupItems count="14">
          <s v="&lt;01-01-2021"/>
          <s v="Jan"/>
          <s v="Feb"/>
          <s v="Mar"/>
          <s v="Apr"/>
          <s v="May"/>
          <s v="Jun"/>
          <s v="Jul"/>
          <s v="Aug"/>
          <s v="Sep"/>
          <s v="Oct"/>
          <s v="Nov"/>
          <s v="Dec"/>
          <s v="&gt;06-02-2021"/>
        </groupItems>
      </fieldGroup>
    </cacheField>
  </cacheFields>
  <extLst>
    <ext xmlns:x14="http://schemas.microsoft.com/office/spreadsheetml/2009/9/main" uri="{725AE2AE-9491-48be-B2B4-4EB974FC3084}">
      <x14:pivotCacheDefinition pivotCacheId="12986903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9.599352083336" createdVersion="7" refreshedVersion="7" minRefreshableVersion="3" recordCount="37" xr:uid="{39F91951-BBD9-439E-8390-FDDECE872D39}">
  <cacheSource type="worksheet">
    <worksheetSource ref="A1:H38" sheet="Data"/>
  </cacheSource>
  <cacheFields count="8">
    <cacheField name="S No" numFmtId="0">
      <sharedItems containsString="0" containsBlank="1" containsNumber="1" containsInteger="1" minValue="1" maxValue="36"/>
    </cacheField>
    <cacheField name="Date" numFmtId="0">
      <sharedItems containsNonDate="0" containsDate="1" containsString="0" containsBlank="1" minDate="2021-01-01T00:00:00" maxDate="2021-02-06T00:00:00"/>
    </cacheField>
    <cacheField name="Salesman" numFmtId="0">
      <sharedItems containsBlank="1" count="9">
        <s v="Ajit kumar"/>
        <s v="Rohit Das "/>
        <s v="Ramesh"/>
        <s v="Amit"/>
        <s v="Chandu"/>
        <s v="Sindhhu"/>
        <s v="Sindhu"/>
        <s v="Siddhu"/>
        <m/>
      </sharedItems>
    </cacheField>
    <cacheField name="Region" numFmtId="0">
      <sharedItems containsBlank="1" count="5">
        <s v="East"/>
        <s v="West"/>
        <s v="North"/>
        <s v="South"/>
        <m/>
      </sharedItems>
    </cacheField>
    <cacheField name="Product" numFmtId="0">
      <sharedItems containsBlank="1" count="7">
        <s v="Keyboard"/>
        <s v="Mouse"/>
        <s v="Scanner"/>
        <s v="Headphone"/>
        <s v="moniter"/>
        <s v="Speaker"/>
        <m/>
      </sharedItems>
    </cacheField>
    <cacheField name="Qty" numFmtId="0">
      <sharedItems containsString="0" containsBlank="1" containsNumber="1" containsInteger="1" minValue="2" maxValue="7"/>
    </cacheField>
    <cacheField name="Price" numFmtId="0">
      <sharedItems containsString="0" containsBlank="1" containsNumber="1" containsInteger="1" minValue="190" maxValue="2100"/>
    </cacheField>
    <cacheField name="Amount" numFmtId="0">
      <sharedItems containsString="0" containsBlank="1" containsNumber="1" containsInteger="1" minValue="300" maxValue="14700"/>
    </cacheField>
  </cacheFields>
  <extLst>
    <ext xmlns:x14="http://schemas.microsoft.com/office/spreadsheetml/2009/9/main" uri="{725AE2AE-9491-48be-B2B4-4EB974FC3084}">
      <x14:pivotCacheDefinition pivotCacheId="1320590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n v="1"/>
    <x v="0"/>
    <s v="Ajit kumar"/>
    <x v="0"/>
    <x v="0"/>
    <n v="7"/>
    <n v="210"/>
    <n v="1470"/>
  </r>
  <r>
    <n v="2"/>
    <x v="1"/>
    <s v="Rohit Das "/>
    <x v="1"/>
    <x v="0"/>
    <n v="6"/>
    <n v="2100"/>
    <n v="12600"/>
  </r>
  <r>
    <n v="3"/>
    <x v="2"/>
    <s v="Ramesh"/>
    <x v="0"/>
    <x v="1"/>
    <n v="5"/>
    <n v="1200"/>
    <n v="6000"/>
  </r>
  <r>
    <n v="4"/>
    <x v="3"/>
    <s v="Amit"/>
    <x v="1"/>
    <x v="2"/>
    <n v="4"/>
    <n v="1500"/>
    <n v="6000"/>
  </r>
  <r>
    <n v="5"/>
    <x v="4"/>
    <s v="Chandu"/>
    <x v="0"/>
    <x v="1"/>
    <n v="3"/>
    <n v="300"/>
    <n v="900"/>
  </r>
  <r>
    <n v="6"/>
    <x v="5"/>
    <s v="Sindhhu"/>
    <x v="0"/>
    <x v="1"/>
    <n v="2"/>
    <n v="190"/>
    <n v="300"/>
  </r>
  <r>
    <n v="7"/>
    <x v="6"/>
    <s v="Ajit kumar"/>
    <x v="0"/>
    <x v="2"/>
    <n v="7"/>
    <n v="210"/>
    <n v="1470"/>
  </r>
  <r>
    <n v="8"/>
    <x v="7"/>
    <s v="Rohit Das "/>
    <x v="1"/>
    <x v="2"/>
    <n v="6"/>
    <n v="2100"/>
    <n v="12600"/>
  </r>
  <r>
    <n v="9"/>
    <x v="8"/>
    <s v="Ramesh"/>
    <x v="1"/>
    <x v="2"/>
    <n v="5"/>
    <n v="1200"/>
    <n v="6000"/>
  </r>
  <r>
    <n v="10"/>
    <x v="9"/>
    <s v="Amit"/>
    <x v="0"/>
    <x v="0"/>
    <n v="4"/>
    <n v="1500"/>
    <n v="6000"/>
  </r>
  <r>
    <n v="11"/>
    <x v="10"/>
    <s v="Chandu"/>
    <x v="0"/>
    <x v="0"/>
    <n v="3"/>
    <n v="300"/>
    <n v="900"/>
  </r>
  <r>
    <n v="12"/>
    <x v="11"/>
    <s v="Sindhu"/>
    <x v="1"/>
    <x v="1"/>
    <n v="2"/>
    <n v="190"/>
    <n v="380"/>
  </r>
  <r>
    <n v="13"/>
    <x v="12"/>
    <s v="Sindhu"/>
    <x v="0"/>
    <x v="1"/>
    <n v="2"/>
    <n v="210"/>
    <n v="420"/>
  </r>
  <r>
    <n v="14"/>
    <x v="13"/>
    <s v="Ajit kumar"/>
    <x v="0"/>
    <x v="3"/>
    <n v="7"/>
    <n v="2100"/>
    <n v="14700"/>
  </r>
  <r>
    <n v="15"/>
    <x v="14"/>
    <s v="Rohit Das "/>
    <x v="0"/>
    <x v="3"/>
    <n v="6"/>
    <n v="1200"/>
    <n v="7200"/>
  </r>
  <r>
    <n v="16"/>
    <x v="15"/>
    <s v="Ramesh"/>
    <x v="0"/>
    <x v="3"/>
    <n v="5"/>
    <n v="1500"/>
    <n v="7500"/>
  </r>
  <r>
    <n v="17"/>
    <x v="16"/>
    <s v="Amit"/>
    <x v="0"/>
    <x v="1"/>
    <n v="4"/>
    <n v="300"/>
    <n v="1200"/>
  </r>
  <r>
    <n v="18"/>
    <x v="17"/>
    <s v="Chandu"/>
    <x v="0"/>
    <x v="0"/>
    <n v="3"/>
    <n v="190"/>
    <n v="570"/>
  </r>
  <r>
    <n v="19"/>
    <x v="18"/>
    <s v="Sindhu"/>
    <x v="0"/>
    <x v="1"/>
    <n v="2"/>
    <n v="210"/>
    <n v="420"/>
  </r>
  <r>
    <n v="20"/>
    <x v="19"/>
    <s v="Ajit kumar"/>
    <x v="0"/>
    <x v="3"/>
    <n v="7"/>
    <n v="2100"/>
    <n v="14700"/>
  </r>
  <r>
    <n v="21"/>
    <x v="20"/>
    <s v="Rohit Das "/>
    <x v="1"/>
    <x v="2"/>
    <n v="6"/>
    <n v="210"/>
    <n v="7200"/>
  </r>
  <r>
    <n v="22"/>
    <x v="21"/>
    <s v="Ramesh"/>
    <x v="0"/>
    <x v="4"/>
    <n v="5"/>
    <n v="2100"/>
    <n v="1500"/>
  </r>
  <r>
    <n v="23"/>
    <x v="22"/>
    <s v="Amit"/>
    <x v="1"/>
    <x v="0"/>
    <n v="4"/>
    <n v="210"/>
    <n v="800"/>
  </r>
  <r>
    <n v="24"/>
    <x v="23"/>
    <s v="Chandu"/>
    <x v="0"/>
    <x v="1"/>
    <n v="3"/>
    <n v="210"/>
    <n v="570"/>
  </r>
  <r>
    <n v="25"/>
    <x v="24"/>
    <s v="Siddhu"/>
    <x v="0"/>
    <x v="1"/>
    <n v="2"/>
    <n v="210"/>
    <n v="4200"/>
  </r>
  <r>
    <n v="26"/>
    <x v="25"/>
    <s v="Ajit kumar"/>
    <x v="0"/>
    <x v="1"/>
    <n v="7"/>
    <n v="210"/>
    <n v="1470"/>
  </r>
  <r>
    <n v="27"/>
    <x v="26"/>
    <s v="Ajit kumar"/>
    <x v="0"/>
    <x v="1"/>
    <n v="6"/>
    <n v="210"/>
    <n v="12600"/>
  </r>
  <r>
    <n v="28"/>
    <x v="27"/>
    <s v="Ajit kumar"/>
    <x v="1"/>
    <x v="1"/>
    <n v="7"/>
    <n v="210"/>
    <n v="1470"/>
  </r>
  <r>
    <n v="29"/>
    <x v="28"/>
    <s v="Ajit kumar"/>
    <x v="2"/>
    <x v="1"/>
    <n v="7"/>
    <n v="210"/>
    <n v="1470"/>
  </r>
  <r>
    <n v="30"/>
    <x v="29"/>
    <s v="Ajit kumar"/>
    <x v="3"/>
    <x v="1"/>
    <n v="7"/>
    <n v="210"/>
    <n v="1470"/>
  </r>
  <r>
    <n v="31"/>
    <x v="30"/>
    <s v="Ajit kumar"/>
    <x v="0"/>
    <x v="1"/>
    <n v="7"/>
    <n v="210"/>
    <n v="1470"/>
  </r>
  <r>
    <n v="32"/>
    <x v="31"/>
    <s v="Ajit kumar"/>
    <x v="0"/>
    <x v="1"/>
    <n v="7"/>
    <n v="210"/>
    <n v="1470"/>
  </r>
  <r>
    <n v="33"/>
    <x v="32"/>
    <s v="Ajit kumar"/>
    <x v="1"/>
    <x v="0"/>
    <n v="7"/>
    <n v="210"/>
    <n v="1470"/>
  </r>
  <r>
    <n v="34"/>
    <x v="33"/>
    <s v="Rohit Das "/>
    <x v="2"/>
    <x v="1"/>
    <n v="7"/>
    <n v="210"/>
    <n v="1470"/>
  </r>
  <r>
    <n v="35"/>
    <x v="34"/>
    <s v="Rohit Das "/>
    <x v="3"/>
    <x v="3"/>
    <n v="7"/>
    <n v="210"/>
    <n v="1470"/>
  </r>
  <r>
    <n v="36"/>
    <x v="35"/>
    <s v="Rohit Das "/>
    <x v="0"/>
    <x v="2"/>
    <n v="7"/>
    <n v="210"/>
    <n v="147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n v="1"/>
    <d v="2021-01-01T00:00:00"/>
    <x v="0"/>
    <x v="0"/>
    <x v="0"/>
    <n v="7"/>
    <n v="210"/>
    <n v="1470"/>
  </r>
  <r>
    <n v="2"/>
    <d v="2021-01-02T00:00:00"/>
    <x v="1"/>
    <x v="1"/>
    <x v="0"/>
    <n v="6"/>
    <n v="2100"/>
    <n v="12600"/>
  </r>
  <r>
    <n v="3"/>
    <d v="2021-01-03T00:00:00"/>
    <x v="2"/>
    <x v="0"/>
    <x v="1"/>
    <n v="5"/>
    <n v="1200"/>
    <n v="6000"/>
  </r>
  <r>
    <n v="4"/>
    <d v="2021-01-04T00:00:00"/>
    <x v="3"/>
    <x v="1"/>
    <x v="2"/>
    <n v="4"/>
    <n v="1500"/>
    <n v="6000"/>
  </r>
  <r>
    <n v="5"/>
    <d v="2021-01-05T00:00:00"/>
    <x v="4"/>
    <x v="0"/>
    <x v="3"/>
    <n v="3"/>
    <n v="300"/>
    <n v="900"/>
  </r>
  <r>
    <n v="6"/>
    <d v="2021-01-06T00:00:00"/>
    <x v="5"/>
    <x v="0"/>
    <x v="1"/>
    <n v="2"/>
    <n v="190"/>
    <n v="300"/>
  </r>
  <r>
    <n v="7"/>
    <d v="2021-01-07T00:00:00"/>
    <x v="0"/>
    <x v="0"/>
    <x v="2"/>
    <n v="7"/>
    <n v="210"/>
    <n v="1470"/>
  </r>
  <r>
    <n v="8"/>
    <d v="2021-01-08T00:00:00"/>
    <x v="1"/>
    <x v="1"/>
    <x v="2"/>
    <n v="6"/>
    <n v="2100"/>
    <n v="12600"/>
  </r>
  <r>
    <n v="9"/>
    <d v="2021-01-09T00:00:00"/>
    <x v="2"/>
    <x v="1"/>
    <x v="2"/>
    <n v="5"/>
    <n v="1200"/>
    <n v="6000"/>
  </r>
  <r>
    <n v="10"/>
    <d v="2021-01-10T00:00:00"/>
    <x v="3"/>
    <x v="0"/>
    <x v="0"/>
    <n v="4"/>
    <n v="1500"/>
    <n v="6000"/>
  </r>
  <r>
    <n v="11"/>
    <d v="2021-01-11T00:00:00"/>
    <x v="4"/>
    <x v="0"/>
    <x v="0"/>
    <n v="3"/>
    <n v="300"/>
    <n v="900"/>
  </r>
  <r>
    <n v="12"/>
    <d v="2021-01-12T00:00:00"/>
    <x v="6"/>
    <x v="1"/>
    <x v="1"/>
    <n v="2"/>
    <n v="190"/>
    <n v="380"/>
  </r>
  <r>
    <n v="13"/>
    <d v="2021-01-13T00:00:00"/>
    <x v="6"/>
    <x v="0"/>
    <x v="1"/>
    <n v="2"/>
    <n v="210"/>
    <n v="420"/>
  </r>
  <r>
    <n v="14"/>
    <d v="2021-01-14T00:00:00"/>
    <x v="0"/>
    <x v="0"/>
    <x v="4"/>
    <n v="7"/>
    <n v="2100"/>
    <n v="14700"/>
  </r>
  <r>
    <n v="15"/>
    <d v="2021-01-15T00:00:00"/>
    <x v="1"/>
    <x v="0"/>
    <x v="4"/>
    <n v="6"/>
    <n v="1200"/>
    <n v="7200"/>
  </r>
  <r>
    <n v="16"/>
    <d v="2021-01-16T00:00:00"/>
    <x v="2"/>
    <x v="0"/>
    <x v="4"/>
    <n v="5"/>
    <n v="1500"/>
    <n v="7500"/>
  </r>
  <r>
    <n v="17"/>
    <d v="2021-01-17T00:00:00"/>
    <x v="3"/>
    <x v="0"/>
    <x v="1"/>
    <n v="4"/>
    <n v="300"/>
    <n v="1200"/>
  </r>
  <r>
    <n v="18"/>
    <d v="2021-01-18T00:00:00"/>
    <x v="4"/>
    <x v="0"/>
    <x v="0"/>
    <n v="3"/>
    <n v="190"/>
    <n v="570"/>
  </r>
  <r>
    <n v="19"/>
    <d v="2021-01-19T00:00:00"/>
    <x v="6"/>
    <x v="0"/>
    <x v="1"/>
    <n v="2"/>
    <n v="210"/>
    <n v="420"/>
  </r>
  <r>
    <n v="20"/>
    <d v="2021-01-20T00:00:00"/>
    <x v="0"/>
    <x v="0"/>
    <x v="4"/>
    <n v="7"/>
    <n v="2100"/>
    <n v="14700"/>
  </r>
  <r>
    <n v="21"/>
    <d v="2021-01-21T00:00:00"/>
    <x v="1"/>
    <x v="1"/>
    <x v="2"/>
    <n v="6"/>
    <n v="210"/>
    <n v="7200"/>
  </r>
  <r>
    <n v="22"/>
    <d v="2021-01-22T00:00:00"/>
    <x v="2"/>
    <x v="0"/>
    <x v="5"/>
    <n v="5"/>
    <n v="2100"/>
    <n v="1500"/>
  </r>
  <r>
    <n v="23"/>
    <d v="2021-01-23T00:00:00"/>
    <x v="3"/>
    <x v="1"/>
    <x v="0"/>
    <n v="4"/>
    <n v="210"/>
    <n v="800"/>
  </r>
  <r>
    <n v="24"/>
    <d v="2021-01-24T00:00:00"/>
    <x v="4"/>
    <x v="0"/>
    <x v="1"/>
    <n v="3"/>
    <n v="210"/>
    <n v="570"/>
  </r>
  <r>
    <n v="25"/>
    <d v="2021-01-25T00:00:00"/>
    <x v="7"/>
    <x v="0"/>
    <x v="3"/>
    <n v="2"/>
    <n v="210"/>
    <n v="4200"/>
  </r>
  <r>
    <n v="26"/>
    <d v="2021-01-26T00:00:00"/>
    <x v="0"/>
    <x v="0"/>
    <x v="1"/>
    <n v="7"/>
    <n v="210"/>
    <n v="1470"/>
  </r>
  <r>
    <n v="27"/>
    <d v="2021-01-27T00:00:00"/>
    <x v="0"/>
    <x v="0"/>
    <x v="1"/>
    <n v="6"/>
    <n v="210"/>
    <n v="12600"/>
  </r>
  <r>
    <n v="28"/>
    <d v="2021-01-28T00:00:00"/>
    <x v="0"/>
    <x v="1"/>
    <x v="1"/>
    <n v="7"/>
    <n v="210"/>
    <n v="1470"/>
  </r>
  <r>
    <n v="29"/>
    <d v="2021-01-29T00:00:00"/>
    <x v="0"/>
    <x v="2"/>
    <x v="1"/>
    <n v="7"/>
    <n v="210"/>
    <n v="1470"/>
  </r>
  <r>
    <n v="30"/>
    <d v="2021-01-30T00:00:00"/>
    <x v="0"/>
    <x v="3"/>
    <x v="3"/>
    <n v="7"/>
    <n v="210"/>
    <n v="1470"/>
  </r>
  <r>
    <n v="31"/>
    <d v="2021-01-31T00:00:00"/>
    <x v="0"/>
    <x v="0"/>
    <x v="1"/>
    <n v="7"/>
    <n v="210"/>
    <n v="1470"/>
  </r>
  <r>
    <n v="32"/>
    <d v="2021-02-01T00:00:00"/>
    <x v="0"/>
    <x v="0"/>
    <x v="1"/>
    <n v="7"/>
    <n v="210"/>
    <n v="1470"/>
  </r>
  <r>
    <n v="33"/>
    <d v="2021-02-02T00:00:00"/>
    <x v="0"/>
    <x v="1"/>
    <x v="0"/>
    <n v="7"/>
    <n v="210"/>
    <n v="1470"/>
  </r>
  <r>
    <n v="34"/>
    <d v="2021-02-03T00:00:00"/>
    <x v="1"/>
    <x v="2"/>
    <x v="1"/>
    <n v="7"/>
    <n v="210"/>
    <n v="1470"/>
  </r>
  <r>
    <n v="35"/>
    <d v="2021-02-04T00:00:00"/>
    <x v="1"/>
    <x v="3"/>
    <x v="4"/>
    <n v="7"/>
    <n v="210"/>
    <n v="1470"/>
  </r>
  <r>
    <n v="36"/>
    <d v="2021-02-05T00:00:00"/>
    <x v="1"/>
    <x v="0"/>
    <x v="2"/>
    <n v="7"/>
    <n v="210"/>
    <n v="1470"/>
  </r>
  <r>
    <m/>
    <m/>
    <x v="8"/>
    <x v="4"/>
    <x v="6"/>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12B958-4B9B-4234-BBCC-CFE92808D606}" name="PivotTable9"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C20" firstHeaderRow="1" firstDataRow="1" firstDataCol="0"/>
  <pivotFields count="9">
    <pivotField showAll="0"/>
    <pivotField showAll="0"/>
    <pivotField showAll="0"/>
    <pivotField showAll="0"/>
    <pivotField showAll="0"/>
    <pivotField showAll="0"/>
    <pivotField showAll="0"/>
    <pivotField showAll="0"/>
    <pivotField showAll="0" defaultSubtotal="0"/>
  </pivotFields>
  <pivotTableStyleInfo name="PivotStyleLight16" showRowHeaders="1" showColHeaders="1" showRowStripes="0" showColStripes="0" showLastColumn="1"/>
  <filters count="1">
    <filter fld="1" type="dateBetween" evalOrder="-1" id="62" name="Date">
      <autoFilter ref="A1">
        <filterColumn colId="0">
          <customFilters and="1">
            <customFilter operator="greaterThanOrEqual" val="44228"/>
            <customFilter operator="lessThanOrEqual" val="442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2A3978-B293-416A-AEB5-2E70A7FA45DD}" name="PivotTable1"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J2:L19" firstHeaderRow="1" firstDataRow="1" firstDataCol="0"/>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h="1" x="0"/>
        <item x="2"/>
        <item h="1" x="3"/>
        <item h="1" x="1"/>
        <item t="default"/>
      </items>
    </pivotField>
    <pivotField showAll="0">
      <items count="6">
        <item h="1" x="0"/>
        <item h="1" x="3"/>
        <item h="1" x="1"/>
        <item h="1" x="2"/>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filters count="1">
    <filter fld="1" type="dateBetween" evalOrder="-1" id="38" name="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985E17-361D-45BF-A5D7-D9E7E4CB32AA}" name="PivotTable1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16:A17" firstHeaderRow="1" firstDataRow="1" firstDataCol="0"/>
  <pivotFields count="8">
    <pivotField showAll="0"/>
    <pivotField showAll="0"/>
    <pivotField showAll="0">
      <items count="10">
        <item x="0"/>
        <item x="3"/>
        <item x="4"/>
        <item x="2"/>
        <item x="1"/>
        <item x="7"/>
        <item x="5"/>
        <item x="6"/>
        <item x="8"/>
        <item t="default"/>
      </items>
    </pivotField>
    <pivotField showAll="0">
      <items count="6">
        <item x="0"/>
        <item h="1" x="2"/>
        <item h="1" x="3"/>
        <item h="1" x="1"/>
        <item h="1" x="4"/>
        <item t="default"/>
      </items>
    </pivotField>
    <pivotField showAll="0">
      <items count="8">
        <item x="3"/>
        <item x="0"/>
        <item x="4"/>
        <item x="1"/>
        <item x="2"/>
        <item x="5"/>
        <item x="6"/>
        <item t="default"/>
      </items>
    </pivotField>
    <pivotField showAll="0"/>
    <pivotField showAll="0"/>
    <pivotField dataField="1" showAll="0"/>
  </pivotFields>
  <rowItems count="1">
    <i/>
  </rowItems>
  <colItems count="1">
    <i/>
  </colItems>
  <dataFields count="1">
    <dataField name="Count of Amount" fld="7" subtotal="count" baseField="0" baseItem="1237135696"/>
  </dataFields>
  <chartFormats count="2">
    <chartFormat chart="2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E5C2CA-67CD-48D7-A2C8-15041E2BB981}" name="PivotTable10"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13:A14" firstHeaderRow="1" firstDataRow="1" firstDataCol="0"/>
  <pivotFields count="8">
    <pivotField showAll="0"/>
    <pivotField showAll="0"/>
    <pivotField showAll="0">
      <items count="10">
        <item x="0"/>
        <item x="3"/>
        <item x="4"/>
        <item x="2"/>
        <item x="1"/>
        <item x="7"/>
        <item x="5"/>
        <item x="6"/>
        <item x="8"/>
        <item t="default"/>
      </items>
    </pivotField>
    <pivotField showAll="0">
      <items count="6">
        <item x="0"/>
        <item h="1" x="2"/>
        <item h="1" x="3"/>
        <item h="1" x="1"/>
        <item h="1" x="4"/>
        <item t="default"/>
      </items>
    </pivotField>
    <pivotField showAll="0">
      <items count="8">
        <item x="3"/>
        <item x="0"/>
        <item x="4"/>
        <item x="1"/>
        <item x="2"/>
        <item x="5"/>
        <item x="6"/>
        <item t="default"/>
      </items>
    </pivotField>
    <pivotField showAll="0"/>
    <pivotField showAll="0"/>
    <pivotField dataField="1" showAll="0"/>
  </pivotFields>
  <rowItems count="1">
    <i/>
  </rowItems>
  <colItems count="1">
    <i/>
  </colItems>
  <dataFields count="1">
    <dataField name="Sum of Amount" fld="7" baseField="0" baseItem="0"/>
  </dataFields>
  <chartFormats count="2">
    <chartFormat chart="2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2FAAFF-D0F7-4C3C-807F-49EFFACAC42E}" name="PivotTable8"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0">
  <location ref="S2:T4"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6">
        <item h="1" x="0"/>
        <item h="1" x="3"/>
        <item x="1"/>
        <item h="1" x="2"/>
        <item h="1" x="4"/>
        <item t="default"/>
      </items>
    </pivotField>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2">
    <i>
      <x v="2"/>
    </i>
    <i t="grand">
      <x/>
    </i>
  </rowItems>
  <colItems count="1">
    <i/>
  </colItems>
  <dataFields count="1">
    <dataField name="Sum of Amount" fld="7" showDataAs="percentOfCol" baseField="0" baseItem="0" numFmtId="10"/>
  </dataFields>
  <chartFormats count="1">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B584F1-501D-4FD9-BB57-64DE746760F3}" name="PivotTable6"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O2:Q39" firstHeaderRow="0" firstDataRow="1" firstDataCol="1"/>
  <pivotFields count="9">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items count="6">
        <item x="0"/>
        <item h="1" x="3"/>
        <item h="1" x="1"/>
        <item h="1" x="2"/>
        <item h="1" x="4"/>
        <item t="default"/>
      </items>
    </pivotField>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37">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Sum of Amount" fld="7" baseField="0" baseItem="0"/>
    <dataField name="Count of Product" fld="4" subtotal="count" baseField="0" baseItem="0"/>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4D5B9F-2284-470D-B300-5A3E2114374F}" name="PivotTable4"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0:C47" firstHeaderRow="1" firstDataRow="1" firstDataCol="0"/>
  <pivotFields count="9">
    <pivotField showAll="0"/>
    <pivotField showAll="0"/>
    <pivotField showAll="0"/>
    <pivotField showAll="0"/>
    <pivotField showAll="0">
      <items count="6">
        <item h="1" x="0"/>
        <item h="1" x="3"/>
        <item h="1" x="1"/>
        <item x="2"/>
        <item h="1" x="4"/>
        <item t="default"/>
      </items>
    </pivotField>
    <pivotField showAll="0"/>
    <pivotField showAll="0"/>
    <pivotField showAl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46C568-4AA9-4CB3-B7AA-BA33F28C2437}"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2:B9" firstHeaderRow="1" firstDataRow="1" firstDataCol="1"/>
  <pivotFields count="8">
    <pivotField showAll="0"/>
    <pivotField showAll="0"/>
    <pivotField showAll="0">
      <items count="10">
        <item x="0"/>
        <item x="3"/>
        <item x="4"/>
        <item x="2"/>
        <item x="1"/>
        <item x="7"/>
        <item x="5"/>
        <item x="6"/>
        <item x="8"/>
        <item t="default"/>
      </items>
    </pivotField>
    <pivotField showAll="0">
      <items count="6">
        <item x="0"/>
        <item h="1" x="2"/>
        <item h="1" x="3"/>
        <item h="1" x="1"/>
        <item h="1" x="4"/>
        <item t="default"/>
      </items>
    </pivotField>
    <pivotField axis="axisRow" showAll="0">
      <items count="8">
        <item x="3"/>
        <item x="0"/>
        <item x="4"/>
        <item x="1"/>
        <item x="2"/>
        <item x="5"/>
        <item x="6"/>
        <item t="default"/>
      </items>
    </pivotField>
    <pivotField showAll="0"/>
    <pivotField showAll="0"/>
    <pivotField dataField="1" showAll="0"/>
  </pivotFields>
  <rowFields count="1">
    <field x="4"/>
  </rowFields>
  <rowItems count="7">
    <i>
      <x/>
    </i>
    <i>
      <x v="1"/>
    </i>
    <i>
      <x v="2"/>
    </i>
    <i>
      <x v="3"/>
    </i>
    <i>
      <x v="4"/>
    </i>
    <i>
      <x v="5"/>
    </i>
    <i t="grand">
      <x/>
    </i>
  </rowItems>
  <colItems count="1">
    <i/>
  </colItems>
  <dataFields count="1">
    <dataField name="Sum of Amount" fld="7" baseField="0" baseItem="0"/>
  </dataField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00D0079-A276-4F3F-A048-F07C61949D5D}" sourceName="Region">
  <pivotTables>
    <pivotTable tabId="3" name="PivotTable1"/>
    <pivotTable tabId="3" name="PivotTable10"/>
    <pivotTable tabId="3" name="PivotTable11"/>
  </pivotTables>
  <data>
    <tabular pivotCacheId="1320590682">
      <items count="5">
        <i x="0" s="1"/>
        <i x="2"/>
        <i x="3"/>
        <i x="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73D5059-9D71-4EC1-970C-FE3865A73948}" sourceName="Product">
  <pivotTables>
    <pivotTable tabId="3" name="PivotTable8"/>
  </pivotTables>
  <data>
    <tabular pivotCacheId="1298690349">
      <items count="5">
        <i x="0"/>
        <i x="3"/>
        <i x="1" s="1"/>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D8D66044-411F-4B24-8AB2-A4AA17B038B7}" cache="Slicer_Region1" caption="Region" columnCount="2" rowHeight="241300"/>
  <slicer name="Product 1" xr10:uid="{E5E5560B-0752-4AA7-B93E-CDDF1693C323}" cache="Slicer_Product" caption="Product" columnCoun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E77943A-46C9-4DA5-BAB7-B98877A5FAB3}" cache="Slicer_Product" caption="Product" columnCoun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0FD8DD2C-5242-4ED7-B477-257C53BE838B}" sourceName="Date">
  <pivotTables>
    <pivotTable tabId="5" name="PivotTable9"/>
  </pivotTables>
  <state minimalRefreshVersion="6" lastRefreshVersion="6" pivotCacheId="1298690349" filterType="dateBetween">
    <selection startDate="2021-02-01T00:00:00" endDate="2021-02-28T00:00:00"/>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57E7061-D13F-4E14-B719-CAAE0136D9BA}" cache="NativeTimeline_Date1" caption="Date"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C490AA3-B756-4623-BB01-E5CEFB3C2D59}" cache="NativeTimeline_Date1" caption="Date" level="2" selectionLevel="2" scrollPosition="2021-06-0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5.xml"/><Relationship Id="rId7"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7D30B-02E8-4A32-9A46-5240D7BCE77C}">
  <dimension ref="A1"/>
  <sheetViews>
    <sheetView tabSelected="1" zoomScale="85" zoomScaleNormal="85" workbookViewId="0">
      <selection activeCell="S10" sqref="S10"/>
    </sheetView>
  </sheetViews>
  <sheetFormatPr defaultRowHeight="15" x14ac:dyDescent="0.25"/>
  <sheetData/>
  <phoneticPr fontId="1" type="noConversion"/>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F39A-CD72-40C1-953A-7BE81C3F8F67}">
  <dimension ref="A3:C20"/>
  <sheetViews>
    <sheetView workbookViewId="0">
      <selection activeCell="A3" sqref="A3"/>
    </sheetView>
  </sheetViews>
  <sheetFormatPr defaultRowHeight="15" x14ac:dyDescent="0.25"/>
  <sheetData>
    <row r="3" spans="1:3" x14ac:dyDescent="0.25">
      <c r="A3" s="4"/>
      <c r="B3" s="5"/>
      <c r="C3" s="6"/>
    </row>
    <row r="4" spans="1:3" x14ac:dyDescent="0.25">
      <c r="A4" s="7"/>
      <c r="B4" s="8"/>
      <c r="C4" s="9"/>
    </row>
    <row r="5" spans="1:3" x14ac:dyDescent="0.25">
      <c r="A5" s="7"/>
      <c r="B5" s="8"/>
      <c r="C5" s="9"/>
    </row>
    <row r="6" spans="1:3" x14ac:dyDescent="0.25">
      <c r="A6" s="7"/>
      <c r="B6" s="8"/>
      <c r="C6" s="9"/>
    </row>
    <row r="7" spans="1:3" x14ac:dyDescent="0.25">
      <c r="A7" s="7"/>
      <c r="B7" s="8"/>
      <c r="C7" s="9"/>
    </row>
    <row r="8" spans="1:3" x14ac:dyDescent="0.25">
      <c r="A8" s="7"/>
      <c r="B8" s="8"/>
      <c r="C8" s="9"/>
    </row>
    <row r="9" spans="1:3" x14ac:dyDescent="0.25">
      <c r="A9" s="7"/>
      <c r="B9" s="8"/>
      <c r="C9" s="9"/>
    </row>
    <row r="10" spans="1:3" x14ac:dyDescent="0.25">
      <c r="A10" s="7"/>
      <c r="B10" s="8"/>
      <c r="C10" s="9"/>
    </row>
    <row r="11" spans="1:3" x14ac:dyDescent="0.25">
      <c r="A11" s="7"/>
      <c r="B11" s="8"/>
      <c r="C11" s="9"/>
    </row>
    <row r="12" spans="1:3" x14ac:dyDescent="0.25">
      <c r="A12" s="7"/>
      <c r="B12" s="8"/>
      <c r="C12" s="9"/>
    </row>
    <row r="13" spans="1:3" x14ac:dyDescent="0.25">
      <c r="A13" s="7"/>
      <c r="B13" s="8"/>
      <c r="C13" s="9"/>
    </row>
    <row r="14" spans="1:3" x14ac:dyDescent="0.25">
      <c r="A14" s="7"/>
      <c r="B14" s="8"/>
      <c r="C14" s="9"/>
    </row>
    <row r="15" spans="1:3" x14ac:dyDescent="0.25">
      <c r="A15" s="7"/>
      <c r="B15" s="8"/>
      <c r="C15" s="9"/>
    </row>
    <row r="16" spans="1:3" x14ac:dyDescent="0.25">
      <c r="A16" s="7"/>
      <c r="B16" s="8"/>
      <c r="C16" s="9"/>
    </row>
    <row r="17" spans="1:3" x14ac:dyDescent="0.25">
      <c r="A17" s="7"/>
      <c r="B17" s="8"/>
      <c r="C17" s="9"/>
    </row>
    <row r="18" spans="1:3" x14ac:dyDescent="0.25">
      <c r="A18" s="7"/>
      <c r="B18" s="8"/>
      <c r="C18" s="9"/>
    </row>
    <row r="19" spans="1:3" x14ac:dyDescent="0.25">
      <c r="A19" s="7"/>
      <c r="B19" s="8"/>
      <c r="C19" s="9"/>
    </row>
    <row r="20" spans="1:3" x14ac:dyDescent="0.25">
      <c r="A20" s="10"/>
      <c r="B20" s="11"/>
      <c r="C20" s="12"/>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687A-ED3A-403F-9ED9-10999891EB6A}">
  <dimension ref="A1:L37"/>
  <sheetViews>
    <sheetView topLeftCell="A10" zoomScaleNormal="100" workbookViewId="0">
      <selection sqref="A1:H37"/>
    </sheetView>
  </sheetViews>
  <sheetFormatPr defaultRowHeight="15" x14ac:dyDescent="0.25"/>
  <cols>
    <col min="2" max="2" width="10.42578125" bestFit="1" customWidth="1"/>
  </cols>
  <sheetData>
    <row r="1" spans="1:12" x14ac:dyDescent="0.25">
      <c r="A1" s="3" t="s">
        <v>0</v>
      </c>
      <c r="B1" s="3" t="s">
        <v>1</v>
      </c>
      <c r="C1" s="3" t="s">
        <v>2</v>
      </c>
      <c r="D1" s="3" t="s">
        <v>3</v>
      </c>
      <c r="E1" s="3" t="s">
        <v>21</v>
      </c>
      <c r="F1" s="3" t="s">
        <v>4</v>
      </c>
      <c r="G1" s="3" t="s">
        <v>5</v>
      </c>
      <c r="H1" s="3" t="s">
        <v>6</v>
      </c>
    </row>
    <row r="2" spans="1:12" x14ac:dyDescent="0.25">
      <c r="A2">
        <v>1</v>
      </c>
      <c r="B2" s="2">
        <v>44197</v>
      </c>
      <c r="C2" t="s">
        <v>7</v>
      </c>
      <c r="D2" t="s">
        <v>14</v>
      </c>
      <c r="E2" t="s">
        <v>24</v>
      </c>
      <c r="F2">
        <v>7</v>
      </c>
      <c r="G2">
        <v>210</v>
      </c>
      <c r="H2">
        <v>1470</v>
      </c>
      <c r="J2" s="4"/>
      <c r="K2" s="5"/>
      <c r="L2" s="6"/>
    </row>
    <row r="3" spans="1:12" x14ac:dyDescent="0.25">
      <c r="A3">
        <v>2</v>
      </c>
      <c r="B3" s="2">
        <v>44198</v>
      </c>
      <c r="C3" t="s">
        <v>8</v>
      </c>
      <c r="D3" t="s">
        <v>15</v>
      </c>
      <c r="E3" t="s">
        <v>24</v>
      </c>
      <c r="F3">
        <v>6</v>
      </c>
      <c r="G3">
        <v>2100</v>
      </c>
      <c r="H3">
        <v>12600</v>
      </c>
      <c r="J3" s="7"/>
      <c r="K3" s="8"/>
      <c r="L3" s="9"/>
    </row>
    <row r="4" spans="1:12" x14ac:dyDescent="0.25">
      <c r="A4">
        <v>3</v>
      </c>
      <c r="B4" s="2">
        <v>44199</v>
      </c>
      <c r="C4" t="s">
        <v>9</v>
      </c>
      <c r="D4" t="s">
        <v>14</v>
      </c>
      <c r="E4" t="s">
        <v>25</v>
      </c>
      <c r="F4">
        <v>5</v>
      </c>
      <c r="G4">
        <v>1200</v>
      </c>
      <c r="H4">
        <v>6000</v>
      </c>
      <c r="J4" s="7"/>
      <c r="K4" s="8"/>
      <c r="L4" s="9"/>
    </row>
    <row r="5" spans="1:12" x14ac:dyDescent="0.25">
      <c r="A5">
        <v>4</v>
      </c>
      <c r="B5" s="2">
        <v>44200</v>
      </c>
      <c r="C5" t="s">
        <v>10</v>
      </c>
      <c r="D5" t="s">
        <v>15</v>
      </c>
      <c r="E5" t="s">
        <v>22</v>
      </c>
      <c r="F5">
        <v>4</v>
      </c>
      <c r="G5">
        <v>1500</v>
      </c>
      <c r="H5">
        <v>6000</v>
      </c>
      <c r="J5" s="7"/>
      <c r="K5" s="8"/>
      <c r="L5" s="9"/>
    </row>
    <row r="6" spans="1:12" x14ac:dyDescent="0.25">
      <c r="A6">
        <v>5</v>
      </c>
      <c r="B6" s="2">
        <v>44201</v>
      </c>
      <c r="C6" t="s">
        <v>11</v>
      </c>
      <c r="D6" t="s">
        <v>14</v>
      </c>
      <c r="E6" t="s">
        <v>27</v>
      </c>
      <c r="F6">
        <v>3</v>
      </c>
      <c r="G6">
        <v>300</v>
      </c>
      <c r="H6">
        <v>900</v>
      </c>
      <c r="J6" s="7"/>
      <c r="K6" s="8"/>
      <c r="L6" s="9"/>
    </row>
    <row r="7" spans="1:12" x14ac:dyDescent="0.25">
      <c r="A7">
        <v>6</v>
      </c>
      <c r="B7" s="2">
        <v>44202</v>
      </c>
      <c r="C7" t="s">
        <v>12</v>
      </c>
      <c r="D7" t="s">
        <v>14</v>
      </c>
      <c r="E7" t="s">
        <v>25</v>
      </c>
      <c r="F7">
        <v>2</v>
      </c>
      <c r="G7">
        <v>190</v>
      </c>
      <c r="H7">
        <v>300</v>
      </c>
      <c r="J7" s="7"/>
      <c r="K7" s="8"/>
      <c r="L7" s="9"/>
    </row>
    <row r="8" spans="1:12" x14ac:dyDescent="0.25">
      <c r="A8">
        <v>7</v>
      </c>
      <c r="B8" s="2">
        <v>44203</v>
      </c>
      <c r="C8" t="s">
        <v>7</v>
      </c>
      <c r="D8" t="s">
        <v>14</v>
      </c>
      <c r="E8" t="s">
        <v>22</v>
      </c>
      <c r="F8">
        <v>7</v>
      </c>
      <c r="G8">
        <v>210</v>
      </c>
      <c r="H8">
        <v>1470</v>
      </c>
      <c r="J8" s="7"/>
      <c r="K8" s="8"/>
      <c r="L8" s="9"/>
    </row>
    <row r="9" spans="1:12" x14ac:dyDescent="0.25">
      <c r="A9">
        <v>8</v>
      </c>
      <c r="B9" s="2">
        <v>44204</v>
      </c>
      <c r="C9" t="s">
        <v>8</v>
      </c>
      <c r="D9" t="s">
        <v>15</v>
      </c>
      <c r="E9" t="s">
        <v>22</v>
      </c>
      <c r="F9">
        <v>6</v>
      </c>
      <c r="G9">
        <v>2100</v>
      </c>
      <c r="H9">
        <v>12600</v>
      </c>
      <c r="J9" s="7"/>
      <c r="K9" s="8"/>
      <c r="L9" s="9"/>
    </row>
    <row r="10" spans="1:12" x14ac:dyDescent="0.25">
      <c r="A10">
        <v>9</v>
      </c>
      <c r="B10" s="2">
        <v>44205</v>
      </c>
      <c r="C10" t="s">
        <v>9</v>
      </c>
      <c r="D10" t="s">
        <v>15</v>
      </c>
      <c r="E10" t="s">
        <v>22</v>
      </c>
      <c r="F10">
        <v>5</v>
      </c>
      <c r="G10">
        <v>1200</v>
      </c>
      <c r="H10">
        <v>6000</v>
      </c>
      <c r="J10" s="7"/>
      <c r="K10" s="8"/>
      <c r="L10" s="9"/>
    </row>
    <row r="11" spans="1:12" x14ac:dyDescent="0.25">
      <c r="A11">
        <v>10</v>
      </c>
      <c r="B11" s="2">
        <v>44206</v>
      </c>
      <c r="C11" t="s">
        <v>10</v>
      </c>
      <c r="D11" t="s">
        <v>14</v>
      </c>
      <c r="E11" t="s">
        <v>24</v>
      </c>
      <c r="F11">
        <v>4</v>
      </c>
      <c r="G11">
        <v>1500</v>
      </c>
      <c r="H11">
        <v>6000</v>
      </c>
      <c r="J11" s="7"/>
      <c r="K11" s="8"/>
      <c r="L11" s="9"/>
    </row>
    <row r="12" spans="1:12" x14ac:dyDescent="0.25">
      <c r="A12">
        <v>11</v>
      </c>
      <c r="B12" s="2">
        <v>44388</v>
      </c>
      <c r="C12" t="s">
        <v>11</v>
      </c>
      <c r="D12" t="s">
        <v>14</v>
      </c>
      <c r="E12" t="s">
        <v>24</v>
      </c>
      <c r="F12">
        <v>3</v>
      </c>
      <c r="G12">
        <v>300</v>
      </c>
      <c r="H12">
        <v>900</v>
      </c>
      <c r="J12" s="7"/>
      <c r="K12" s="8"/>
      <c r="L12" s="9"/>
    </row>
    <row r="13" spans="1:12" x14ac:dyDescent="0.25">
      <c r="A13">
        <v>12</v>
      </c>
      <c r="B13" s="2">
        <v>44208</v>
      </c>
      <c r="C13" t="s">
        <v>13</v>
      </c>
      <c r="D13" t="s">
        <v>15</v>
      </c>
      <c r="E13" t="s">
        <v>25</v>
      </c>
      <c r="F13">
        <v>2</v>
      </c>
      <c r="G13">
        <v>190</v>
      </c>
      <c r="H13">
        <v>380</v>
      </c>
      <c r="J13" s="7"/>
      <c r="K13" s="8"/>
      <c r="L13" s="9"/>
    </row>
    <row r="14" spans="1:12" x14ac:dyDescent="0.25">
      <c r="A14">
        <v>13</v>
      </c>
      <c r="B14" s="2">
        <v>44209</v>
      </c>
      <c r="C14" t="s">
        <v>13</v>
      </c>
      <c r="D14" t="s">
        <v>14</v>
      </c>
      <c r="E14" t="s">
        <v>25</v>
      </c>
      <c r="F14">
        <v>2</v>
      </c>
      <c r="G14">
        <v>210</v>
      </c>
      <c r="H14">
        <v>420</v>
      </c>
      <c r="J14" s="7"/>
      <c r="K14" s="8"/>
      <c r="L14" s="9"/>
    </row>
    <row r="15" spans="1:12" x14ac:dyDescent="0.25">
      <c r="A15">
        <v>14</v>
      </c>
      <c r="B15" s="2">
        <v>44210</v>
      </c>
      <c r="C15" t="s">
        <v>7</v>
      </c>
      <c r="D15" t="s">
        <v>14</v>
      </c>
      <c r="E15" t="s">
        <v>26</v>
      </c>
      <c r="F15">
        <v>7</v>
      </c>
      <c r="G15">
        <v>2100</v>
      </c>
      <c r="H15">
        <v>14700</v>
      </c>
      <c r="J15" s="7"/>
      <c r="K15" s="8"/>
      <c r="L15" s="9"/>
    </row>
    <row r="16" spans="1:12" x14ac:dyDescent="0.25">
      <c r="A16">
        <v>15</v>
      </c>
      <c r="B16" s="2">
        <v>44211</v>
      </c>
      <c r="C16" t="s">
        <v>8</v>
      </c>
      <c r="D16" t="s">
        <v>14</v>
      </c>
      <c r="E16" t="s">
        <v>26</v>
      </c>
      <c r="F16">
        <v>6</v>
      </c>
      <c r="G16">
        <v>1200</v>
      </c>
      <c r="H16">
        <v>7200</v>
      </c>
      <c r="J16" s="7"/>
      <c r="K16" s="8"/>
      <c r="L16" s="9"/>
    </row>
    <row r="17" spans="1:12" x14ac:dyDescent="0.25">
      <c r="A17">
        <v>16</v>
      </c>
      <c r="B17" s="2">
        <v>44243</v>
      </c>
      <c r="C17" t="s">
        <v>9</v>
      </c>
      <c r="D17" t="s">
        <v>14</v>
      </c>
      <c r="E17" t="s">
        <v>26</v>
      </c>
      <c r="F17">
        <v>5</v>
      </c>
      <c r="G17">
        <v>1500</v>
      </c>
      <c r="H17">
        <v>7500</v>
      </c>
      <c r="J17" s="7"/>
      <c r="K17" s="8"/>
      <c r="L17" s="9"/>
    </row>
    <row r="18" spans="1:12" x14ac:dyDescent="0.25">
      <c r="A18">
        <v>17</v>
      </c>
      <c r="B18" s="2">
        <v>44213</v>
      </c>
      <c r="C18" t="s">
        <v>10</v>
      </c>
      <c r="D18" t="s">
        <v>14</v>
      </c>
      <c r="E18" t="s">
        <v>25</v>
      </c>
      <c r="F18">
        <v>4</v>
      </c>
      <c r="G18">
        <v>300</v>
      </c>
      <c r="H18">
        <v>1200</v>
      </c>
      <c r="J18" s="7"/>
      <c r="K18" s="8"/>
      <c r="L18" s="9"/>
    </row>
    <row r="19" spans="1:12" x14ac:dyDescent="0.25">
      <c r="A19">
        <v>18</v>
      </c>
      <c r="B19" s="2">
        <v>44214</v>
      </c>
      <c r="C19" t="s">
        <v>11</v>
      </c>
      <c r="D19" t="s">
        <v>14</v>
      </c>
      <c r="E19" t="s">
        <v>24</v>
      </c>
      <c r="F19">
        <v>3</v>
      </c>
      <c r="G19">
        <v>190</v>
      </c>
      <c r="H19">
        <v>570</v>
      </c>
      <c r="J19" s="10"/>
      <c r="K19" s="11"/>
      <c r="L19" s="12"/>
    </row>
    <row r="20" spans="1:12" x14ac:dyDescent="0.25">
      <c r="A20">
        <v>19</v>
      </c>
      <c r="B20" s="2">
        <v>44274</v>
      </c>
      <c r="C20" t="s">
        <v>13</v>
      </c>
      <c r="D20" t="s">
        <v>14</v>
      </c>
      <c r="E20" t="s">
        <v>25</v>
      </c>
      <c r="F20">
        <v>2</v>
      </c>
      <c r="G20">
        <v>210</v>
      </c>
      <c r="H20">
        <v>420</v>
      </c>
    </row>
    <row r="21" spans="1:12" x14ac:dyDescent="0.25">
      <c r="A21">
        <v>20</v>
      </c>
      <c r="B21" s="2">
        <v>44216</v>
      </c>
      <c r="C21" t="s">
        <v>7</v>
      </c>
      <c r="D21" t="s">
        <v>14</v>
      </c>
      <c r="E21" t="s">
        <v>26</v>
      </c>
      <c r="F21">
        <v>7</v>
      </c>
      <c r="G21">
        <v>2100</v>
      </c>
      <c r="H21">
        <v>14700</v>
      </c>
    </row>
    <row r="22" spans="1:12" x14ac:dyDescent="0.25">
      <c r="A22">
        <v>21</v>
      </c>
      <c r="B22" s="2">
        <v>44276</v>
      </c>
      <c r="C22" t="s">
        <v>8</v>
      </c>
      <c r="D22" t="s">
        <v>15</v>
      </c>
      <c r="E22" t="s">
        <v>22</v>
      </c>
      <c r="F22">
        <v>6</v>
      </c>
      <c r="G22">
        <v>210</v>
      </c>
      <c r="H22">
        <v>7200</v>
      </c>
    </row>
    <row r="23" spans="1:12" x14ac:dyDescent="0.25">
      <c r="A23">
        <v>22</v>
      </c>
      <c r="B23" s="2">
        <v>44308</v>
      </c>
      <c r="C23" t="s">
        <v>9</v>
      </c>
      <c r="D23" t="s">
        <v>14</v>
      </c>
      <c r="E23" t="s">
        <v>23</v>
      </c>
      <c r="F23">
        <v>5</v>
      </c>
      <c r="G23">
        <v>2100</v>
      </c>
      <c r="H23">
        <v>1500</v>
      </c>
    </row>
    <row r="24" spans="1:12" x14ac:dyDescent="0.25">
      <c r="A24">
        <v>23</v>
      </c>
      <c r="B24" s="2">
        <v>44219</v>
      </c>
      <c r="C24" t="s">
        <v>10</v>
      </c>
      <c r="D24" t="s">
        <v>15</v>
      </c>
      <c r="E24" t="s">
        <v>24</v>
      </c>
      <c r="F24">
        <v>4</v>
      </c>
      <c r="G24">
        <v>210</v>
      </c>
      <c r="H24">
        <v>800</v>
      </c>
    </row>
    <row r="25" spans="1:12" x14ac:dyDescent="0.25">
      <c r="A25">
        <v>24</v>
      </c>
      <c r="B25" s="2">
        <v>44340</v>
      </c>
      <c r="C25" t="s">
        <v>16</v>
      </c>
      <c r="D25" t="s">
        <v>14</v>
      </c>
      <c r="E25" t="s">
        <v>25</v>
      </c>
      <c r="F25">
        <v>3</v>
      </c>
      <c r="G25">
        <v>210</v>
      </c>
      <c r="H25">
        <v>570</v>
      </c>
    </row>
    <row r="26" spans="1:12" x14ac:dyDescent="0.25">
      <c r="A26">
        <v>25</v>
      </c>
      <c r="B26" s="2">
        <v>44221</v>
      </c>
      <c r="C26" t="s">
        <v>17</v>
      </c>
      <c r="D26" t="s">
        <v>14</v>
      </c>
      <c r="E26" t="s">
        <v>27</v>
      </c>
      <c r="F26">
        <v>2</v>
      </c>
      <c r="G26">
        <v>210</v>
      </c>
      <c r="H26">
        <v>4200</v>
      </c>
    </row>
    <row r="27" spans="1:12" x14ac:dyDescent="0.25">
      <c r="A27">
        <v>26</v>
      </c>
      <c r="B27" s="2">
        <v>44222</v>
      </c>
      <c r="C27" t="s">
        <v>7</v>
      </c>
      <c r="D27" t="s">
        <v>14</v>
      </c>
      <c r="E27" t="s">
        <v>25</v>
      </c>
      <c r="F27">
        <v>7</v>
      </c>
      <c r="G27">
        <v>210</v>
      </c>
      <c r="H27">
        <v>1470</v>
      </c>
    </row>
    <row r="28" spans="1:12" x14ac:dyDescent="0.25">
      <c r="A28">
        <v>27</v>
      </c>
      <c r="B28" s="2">
        <v>44223</v>
      </c>
      <c r="C28" t="s">
        <v>7</v>
      </c>
      <c r="D28" t="s">
        <v>14</v>
      </c>
      <c r="E28" t="s">
        <v>25</v>
      </c>
      <c r="F28">
        <v>6</v>
      </c>
      <c r="G28">
        <v>210</v>
      </c>
      <c r="H28">
        <v>12600</v>
      </c>
    </row>
    <row r="29" spans="1:12" x14ac:dyDescent="0.25">
      <c r="A29">
        <v>28</v>
      </c>
      <c r="B29" s="2">
        <v>44224</v>
      </c>
      <c r="C29" t="s">
        <v>7</v>
      </c>
      <c r="D29" t="s">
        <v>18</v>
      </c>
      <c r="E29" t="s">
        <v>25</v>
      </c>
      <c r="F29">
        <v>7</v>
      </c>
      <c r="G29">
        <v>210</v>
      </c>
      <c r="H29">
        <v>1470</v>
      </c>
    </row>
    <row r="30" spans="1:12" x14ac:dyDescent="0.25">
      <c r="A30">
        <v>29</v>
      </c>
      <c r="B30" s="2">
        <v>44225</v>
      </c>
      <c r="C30" t="s">
        <v>7</v>
      </c>
      <c r="D30" t="s">
        <v>19</v>
      </c>
      <c r="E30" t="s">
        <v>25</v>
      </c>
      <c r="F30">
        <v>7</v>
      </c>
      <c r="G30">
        <v>210</v>
      </c>
      <c r="H30">
        <v>1470</v>
      </c>
    </row>
    <row r="31" spans="1:12" x14ac:dyDescent="0.25">
      <c r="A31">
        <v>30</v>
      </c>
      <c r="B31" s="2">
        <v>44407</v>
      </c>
      <c r="C31" t="s">
        <v>7</v>
      </c>
      <c r="D31" t="s">
        <v>20</v>
      </c>
      <c r="E31" t="s">
        <v>27</v>
      </c>
      <c r="F31">
        <v>7</v>
      </c>
      <c r="G31">
        <v>210</v>
      </c>
      <c r="H31">
        <v>1470</v>
      </c>
    </row>
    <row r="32" spans="1:12" x14ac:dyDescent="0.25">
      <c r="A32">
        <v>31</v>
      </c>
      <c r="B32" s="2">
        <v>44227</v>
      </c>
      <c r="C32" t="s">
        <v>7</v>
      </c>
      <c r="D32" t="s">
        <v>14</v>
      </c>
      <c r="E32" t="s">
        <v>25</v>
      </c>
      <c r="F32">
        <v>7</v>
      </c>
      <c r="G32">
        <v>210</v>
      </c>
      <c r="H32">
        <v>1470</v>
      </c>
    </row>
    <row r="33" spans="1:8" x14ac:dyDescent="0.25">
      <c r="A33">
        <v>32</v>
      </c>
      <c r="B33" s="1">
        <v>44228</v>
      </c>
      <c r="C33" t="s">
        <v>7</v>
      </c>
      <c r="D33" t="s">
        <v>14</v>
      </c>
      <c r="E33" t="s">
        <v>25</v>
      </c>
      <c r="F33">
        <v>7</v>
      </c>
      <c r="G33">
        <v>210</v>
      </c>
      <c r="H33">
        <v>1470</v>
      </c>
    </row>
    <row r="34" spans="1:8" x14ac:dyDescent="0.25">
      <c r="A34">
        <v>33</v>
      </c>
      <c r="B34" s="1">
        <v>44229</v>
      </c>
      <c r="C34" t="s">
        <v>7</v>
      </c>
      <c r="D34" t="s">
        <v>18</v>
      </c>
      <c r="E34" t="s">
        <v>24</v>
      </c>
      <c r="F34">
        <v>7</v>
      </c>
      <c r="G34">
        <v>210</v>
      </c>
      <c r="H34">
        <v>1470</v>
      </c>
    </row>
    <row r="35" spans="1:8" x14ac:dyDescent="0.25">
      <c r="A35">
        <v>34</v>
      </c>
      <c r="B35" s="1">
        <v>44230</v>
      </c>
      <c r="C35" t="s">
        <v>8</v>
      </c>
      <c r="D35" t="s">
        <v>19</v>
      </c>
      <c r="E35" t="s">
        <v>25</v>
      </c>
      <c r="F35">
        <v>7</v>
      </c>
      <c r="G35">
        <v>210</v>
      </c>
      <c r="H35">
        <v>1470</v>
      </c>
    </row>
    <row r="36" spans="1:8" x14ac:dyDescent="0.25">
      <c r="A36">
        <v>35</v>
      </c>
      <c r="B36" s="1">
        <v>44231</v>
      </c>
      <c r="C36" t="s">
        <v>8</v>
      </c>
      <c r="D36" t="s">
        <v>20</v>
      </c>
      <c r="E36" t="s">
        <v>26</v>
      </c>
      <c r="F36">
        <v>7</v>
      </c>
      <c r="G36">
        <v>210</v>
      </c>
      <c r="H36">
        <v>1470</v>
      </c>
    </row>
    <row r="37" spans="1:8" x14ac:dyDescent="0.25">
      <c r="A37">
        <v>36</v>
      </c>
      <c r="B37" s="1">
        <v>44232</v>
      </c>
      <c r="C37" t="s">
        <v>8</v>
      </c>
      <c r="D37" t="s">
        <v>14</v>
      </c>
      <c r="E37" t="s">
        <v>22</v>
      </c>
      <c r="F37">
        <v>7</v>
      </c>
      <c r="G37">
        <v>210</v>
      </c>
      <c r="H37">
        <v>1470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B9BB6-59B1-4F7D-BA55-9573FBDBC41B}">
  <dimension ref="A2:T47"/>
  <sheetViews>
    <sheetView workbookViewId="0">
      <selection activeCell="B18" sqref="B18"/>
    </sheetView>
  </sheetViews>
  <sheetFormatPr defaultRowHeight="15" x14ac:dyDescent="0.25"/>
  <cols>
    <col min="1" max="1" width="16.28515625" bestFit="1" customWidth="1"/>
    <col min="2" max="2" width="14.85546875" bestFit="1" customWidth="1"/>
    <col min="3" max="3" width="10.7109375" bestFit="1" customWidth="1"/>
    <col min="15" max="15" width="13.140625" bestFit="1" customWidth="1"/>
    <col min="16" max="16" width="14.85546875" bestFit="1" customWidth="1"/>
    <col min="17" max="17" width="16" bestFit="1" customWidth="1"/>
    <col min="19" max="19" width="13.140625" bestFit="1" customWidth="1"/>
    <col min="20" max="20" width="14.85546875" bestFit="1" customWidth="1"/>
    <col min="21" max="21" width="16" bestFit="1" customWidth="1"/>
  </cols>
  <sheetData>
    <row r="2" spans="1:20" x14ac:dyDescent="0.25">
      <c r="A2" s="13" t="s">
        <v>28</v>
      </c>
      <c r="B2" t="s">
        <v>30</v>
      </c>
      <c r="O2" s="13" t="s">
        <v>28</v>
      </c>
      <c r="P2" t="s">
        <v>30</v>
      </c>
      <c r="Q2" t="s">
        <v>67</v>
      </c>
      <c r="S2" s="13" t="s">
        <v>28</v>
      </c>
      <c r="T2" t="s">
        <v>30</v>
      </c>
    </row>
    <row r="3" spans="1:20" x14ac:dyDescent="0.25">
      <c r="A3" s="14" t="s">
        <v>27</v>
      </c>
      <c r="B3" s="15">
        <v>5100</v>
      </c>
      <c r="O3" s="14" t="s">
        <v>31</v>
      </c>
      <c r="P3" s="15">
        <v>1470</v>
      </c>
      <c r="Q3" s="15">
        <v>1</v>
      </c>
      <c r="S3" s="14" t="s">
        <v>25</v>
      </c>
      <c r="T3" s="16">
        <v>1</v>
      </c>
    </row>
    <row r="4" spans="1:20" x14ac:dyDescent="0.25">
      <c r="A4" s="14" t="s">
        <v>24</v>
      </c>
      <c r="B4" s="15">
        <v>8940</v>
      </c>
      <c r="O4" s="14" t="s">
        <v>32</v>
      </c>
      <c r="P4" s="15">
        <v>12600</v>
      </c>
      <c r="Q4" s="15">
        <v>1</v>
      </c>
      <c r="S4" s="14" t="s">
        <v>29</v>
      </c>
      <c r="T4" s="16">
        <v>1</v>
      </c>
    </row>
    <row r="5" spans="1:20" x14ac:dyDescent="0.25">
      <c r="A5" s="14" t="s">
        <v>26</v>
      </c>
      <c r="B5" s="15">
        <v>44100</v>
      </c>
      <c r="O5" s="14" t="s">
        <v>33</v>
      </c>
      <c r="P5" s="15">
        <v>6000</v>
      </c>
      <c r="Q5" s="15">
        <v>1</v>
      </c>
    </row>
    <row r="6" spans="1:20" x14ac:dyDescent="0.25">
      <c r="A6" s="14" t="s">
        <v>25</v>
      </c>
      <c r="B6" s="15">
        <v>25920</v>
      </c>
      <c r="O6" s="14" t="s">
        <v>34</v>
      </c>
      <c r="P6" s="15">
        <v>6000</v>
      </c>
      <c r="Q6" s="15">
        <v>1</v>
      </c>
    </row>
    <row r="7" spans="1:20" x14ac:dyDescent="0.25">
      <c r="A7" s="14" t="s">
        <v>22</v>
      </c>
      <c r="B7" s="15">
        <v>2940</v>
      </c>
      <c r="O7" s="14" t="s">
        <v>35</v>
      </c>
      <c r="P7" s="15">
        <v>900</v>
      </c>
      <c r="Q7" s="15">
        <v>1</v>
      </c>
    </row>
    <row r="8" spans="1:20" x14ac:dyDescent="0.25">
      <c r="A8" s="14" t="s">
        <v>23</v>
      </c>
      <c r="B8" s="15">
        <v>1500</v>
      </c>
      <c r="O8" s="14" t="s">
        <v>36</v>
      </c>
      <c r="P8" s="15">
        <v>300</v>
      </c>
      <c r="Q8" s="15">
        <v>1</v>
      </c>
    </row>
    <row r="9" spans="1:20" x14ac:dyDescent="0.25">
      <c r="A9" s="14" t="s">
        <v>29</v>
      </c>
      <c r="B9" s="15">
        <v>88500</v>
      </c>
      <c r="O9" s="14" t="s">
        <v>37</v>
      </c>
      <c r="P9" s="15">
        <v>1470</v>
      </c>
      <c r="Q9" s="15">
        <v>1</v>
      </c>
    </row>
    <row r="10" spans="1:20" x14ac:dyDescent="0.25">
      <c r="O10" s="14" t="s">
        <v>38</v>
      </c>
      <c r="P10" s="15">
        <v>12600</v>
      </c>
      <c r="Q10" s="15">
        <v>1</v>
      </c>
    </row>
    <row r="11" spans="1:20" x14ac:dyDescent="0.25">
      <c r="O11" s="14" t="s">
        <v>39</v>
      </c>
      <c r="P11" s="15">
        <v>6000</v>
      </c>
      <c r="Q11" s="15">
        <v>1</v>
      </c>
    </row>
    <row r="12" spans="1:20" x14ac:dyDescent="0.25">
      <c r="O12" s="14" t="s">
        <v>40</v>
      </c>
      <c r="P12" s="15">
        <v>6000</v>
      </c>
      <c r="Q12" s="15">
        <v>1</v>
      </c>
    </row>
    <row r="13" spans="1:20" x14ac:dyDescent="0.25">
      <c r="A13" t="s">
        <v>30</v>
      </c>
      <c r="O13" s="14" t="s">
        <v>41</v>
      </c>
      <c r="P13" s="15">
        <v>900</v>
      </c>
      <c r="Q13" s="15">
        <v>1</v>
      </c>
    </row>
    <row r="14" spans="1:20" x14ac:dyDescent="0.25">
      <c r="A14" s="15">
        <v>88500</v>
      </c>
      <c r="B14" s="17">
        <f>GETPIVOTDATA("Amount",$A$13)</f>
        <v>88500</v>
      </c>
      <c r="O14" s="14" t="s">
        <v>42</v>
      </c>
      <c r="P14" s="15">
        <v>380</v>
      </c>
      <c r="Q14" s="15">
        <v>1</v>
      </c>
    </row>
    <row r="15" spans="1:20" x14ac:dyDescent="0.25">
      <c r="O15" s="14" t="s">
        <v>43</v>
      </c>
      <c r="P15" s="15">
        <v>420</v>
      </c>
      <c r="Q15" s="15">
        <v>1</v>
      </c>
    </row>
    <row r="16" spans="1:20" x14ac:dyDescent="0.25">
      <c r="A16" t="s">
        <v>68</v>
      </c>
      <c r="O16" s="14" t="s">
        <v>44</v>
      </c>
      <c r="P16" s="15">
        <v>14700</v>
      </c>
      <c r="Q16" s="15">
        <v>1</v>
      </c>
    </row>
    <row r="17" spans="1:17" x14ac:dyDescent="0.25">
      <c r="A17" s="15">
        <v>23</v>
      </c>
      <c r="B17">
        <f>GETPIVOTDATA("Amount",$A$16)</f>
        <v>23</v>
      </c>
      <c r="O17" s="14" t="s">
        <v>45</v>
      </c>
      <c r="P17" s="15">
        <v>7200</v>
      </c>
      <c r="Q17" s="15">
        <v>1</v>
      </c>
    </row>
    <row r="18" spans="1:17" x14ac:dyDescent="0.25">
      <c r="O18" s="14" t="s">
        <v>46</v>
      </c>
      <c r="P18" s="15">
        <v>7500</v>
      </c>
      <c r="Q18" s="15">
        <v>1</v>
      </c>
    </row>
    <row r="19" spans="1:17" x14ac:dyDescent="0.25">
      <c r="O19" s="14" t="s">
        <v>47</v>
      </c>
      <c r="P19" s="15">
        <v>1200</v>
      </c>
      <c r="Q19" s="15">
        <v>1</v>
      </c>
    </row>
    <row r="20" spans="1:17" x14ac:dyDescent="0.25">
      <c r="O20" s="14" t="s">
        <v>48</v>
      </c>
      <c r="P20" s="15">
        <v>570</v>
      </c>
      <c r="Q20" s="15">
        <v>1</v>
      </c>
    </row>
    <row r="21" spans="1:17" x14ac:dyDescent="0.25">
      <c r="O21" s="14" t="s">
        <v>49</v>
      </c>
      <c r="P21" s="15">
        <v>420</v>
      </c>
      <c r="Q21" s="15">
        <v>1</v>
      </c>
    </row>
    <row r="22" spans="1:17" x14ac:dyDescent="0.25">
      <c r="O22" s="14" t="s">
        <v>50</v>
      </c>
      <c r="P22" s="15">
        <v>14700</v>
      </c>
      <c r="Q22" s="15">
        <v>1</v>
      </c>
    </row>
    <row r="23" spans="1:17" x14ac:dyDescent="0.25">
      <c r="O23" s="14" t="s">
        <v>51</v>
      </c>
      <c r="P23" s="15">
        <v>7200</v>
      </c>
      <c r="Q23" s="15">
        <v>1</v>
      </c>
    </row>
    <row r="24" spans="1:17" x14ac:dyDescent="0.25">
      <c r="O24" s="14" t="s">
        <v>52</v>
      </c>
      <c r="P24" s="15">
        <v>1500</v>
      </c>
      <c r="Q24" s="15">
        <v>1</v>
      </c>
    </row>
    <row r="25" spans="1:17" x14ac:dyDescent="0.25">
      <c r="O25" s="14" t="s">
        <v>53</v>
      </c>
      <c r="P25" s="15">
        <v>800</v>
      </c>
      <c r="Q25" s="15">
        <v>1</v>
      </c>
    </row>
    <row r="26" spans="1:17" x14ac:dyDescent="0.25">
      <c r="O26" s="14" t="s">
        <v>54</v>
      </c>
      <c r="P26" s="15">
        <v>570</v>
      </c>
      <c r="Q26" s="15">
        <v>1</v>
      </c>
    </row>
    <row r="27" spans="1:17" x14ac:dyDescent="0.25">
      <c r="O27" s="14" t="s">
        <v>55</v>
      </c>
      <c r="P27" s="15">
        <v>4200</v>
      </c>
      <c r="Q27" s="15">
        <v>1</v>
      </c>
    </row>
    <row r="28" spans="1:17" x14ac:dyDescent="0.25">
      <c r="O28" s="14" t="s">
        <v>56</v>
      </c>
      <c r="P28" s="15">
        <v>1470</v>
      </c>
      <c r="Q28" s="15">
        <v>1</v>
      </c>
    </row>
    <row r="29" spans="1:17" x14ac:dyDescent="0.25">
      <c r="O29" s="14" t="s">
        <v>57</v>
      </c>
      <c r="P29" s="15">
        <v>12600</v>
      </c>
      <c r="Q29" s="15">
        <v>1</v>
      </c>
    </row>
    <row r="30" spans="1:17" x14ac:dyDescent="0.25">
      <c r="A30" s="4"/>
      <c r="B30" s="5"/>
      <c r="C30" s="6"/>
      <c r="O30" s="14" t="s">
        <v>58</v>
      </c>
      <c r="P30" s="15">
        <v>1470</v>
      </c>
      <c r="Q30" s="15">
        <v>1</v>
      </c>
    </row>
    <row r="31" spans="1:17" x14ac:dyDescent="0.25">
      <c r="A31" s="7"/>
      <c r="B31" s="8"/>
      <c r="C31" s="9"/>
      <c r="O31" s="14" t="s">
        <v>59</v>
      </c>
      <c r="P31" s="15">
        <v>1470</v>
      </c>
      <c r="Q31" s="15">
        <v>1</v>
      </c>
    </row>
    <row r="32" spans="1:17" x14ac:dyDescent="0.25">
      <c r="A32" s="7"/>
      <c r="B32" s="8"/>
      <c r="C32" s="9"/>
      <c r="O32" s="14" t="s">
        <v>60</v>
      </c>
      <c r="P32" s="15">
        <v>1470</v>
      </c>
      <c r="Q32" s="15">
        <v>1</v>
      </c>
    </row>
    <row r="33" spans="1:17" x14ac:dyDescent="0.25">
      <c r="A33" s="7"/>
      <c r="B33" s="8"/>
      <c r="C33" s="9"/>
      <c r="O33" s="14" t="s">
        <v>61</v>
      </c>
      <c r="P33" s="15">
        <v>1470</v>
      </c>
      <c r="Q33" s="15">
        <v>1</v>
      </c>
    </row>
    <row r="34" spans="1:17" x14ac:dyDescent="0.25">
      <c r="A34" s="7"/>
      <c r="B34" s="8"/>
      <c r="C34" s="9"/>
      <c r="O34" s="14" t="s">
        <v>62</v>
      </c>
      <c r="P34" s="15">
        <v>1470</v>
      </c>
      <c r="Q34" s="15">
        <v>1</v>
      </c>
    </row>
    <row r="35" spans="1:17" x14ac:dyDescent="0.25">
      <c r="A35" s="7"/>
      <c r="B35" s="8"/>
      <c r="C35" s="9"/>
      <c r="O35" s="14" t="s">
        <v>63</v>
      </c>
      <c r="P35" s="15">
        <v>1470</v>
      </c>
      <c r="Q35" s="15">
        <v>1</v>
      </c>
    </row>
    <row r="36" spans="1:17" x14ac:dyDescent="0.25">
      <c r="A36" s="7"/>
      <c r="B36" s="8"/>
      <c r="C36" s="9"/>
      <c r="O36" s="14" t="s">
        <v>64</v>
      </c>
      <c r="P36" s="15">
        <v>1470</v>
      </c>
      <c r="Q36" s="15">
        <v>1</v>
      </c>
    </row>
    <row r="37" spans="1:17" x14ac:dyDescent="0.25">
      <c r="A37" s="7"/>
      <c r="B37" s="8"/>
      <c r="C37" s="9"/>
      <c r="O37" s="14" t="s">
        <v>65</v>
      </c>
      <c r="P37" s="15">
        <v>1470</v>
      </c>
      <c r="Q37" s="15">
        <v>1</v>
      </c>
    </row>
    <row r="38" spans="1:17" x14ac:dyDescent="0.25">
      <c r="A38" s="7"/>
      <c r="B38" s="8"/>
      <c r="C38" s="9"/>
      <c r="O38" s="14" t="s">
        <v>66</v>
      </c>
      <c r="P38" s="15">
        <v>1470</v>
      </c>
      <c r="Q38" s="15">
        <v>1</v>
      </c>
    </row>
    <row r="39" spans="1:17" x14ac:dyDescent="0.25">
      <c r="A39" s="7"/>
      <c r="B39" s="8"/>
      <c r="C39" s="9"/>
      <c r="O39" s="14" t="s">
        <v>29</v>
      </c>
      <c r="P39" s="15">
        <v>142900</v>
      </c>
      <c r="Q39" s="15">
        <v>36</v>
      </c>
    </row>
    <row r="40" spans="1:17" x14ac:dyDescent="0.25">
      <c r="A40" s="7"/>
      <c r="B40" s="8"/>
      <c r="C40" s="9"/>
    </row>
    <row r="41" spans="1:17" x14ac:dyDescent="0.25">
      <c r="A41" s="7"/>
      <c r="B41" s="8"/>
      <c r="C41" s="9"/>
    </row>
    <row r="42" spans="1:17" x14ac:dyDescent="0.25">
      <c r="A42" s="7"/>
      <c r="B42" s="8"/>
      <c r="C42" s="9"/>
    </row>
    <row r="43" spans="1:17" x14ac:dyDescent="0.25">
      <c r="A43" s="7"/>
      <c r="B43" s="8"/>
      <c r="C43" s="9"/>
    </row>
    <row r="44" spans="1:17" x14ac:dyDescent="0.25">
      <c r="A44" s="7"/>
      <c r="B44" s="8"/>
      <c r="C44" s="9"/>
    </row>
    <row r="45" spans="1:17" x14ac:dyDescent="0.25">
      <c r="A45" s="7"/>
      <c r="B45" s="8"/>
      <c r="C45" s="9"/>
    </row>
    <row r="46" spans="1:17" x14ac:dyDescent="0.25">
      <c r="A46" s="7"/>
      <c r="B46" s="8"/>
      <c r="C46" s="9"/>
    </row>
    <row r="47" spans="1:17" x14ac:dyDescent="0.25">
      <c r="A47" s="10"/>
      <c r="B47" s="11"/>
      <c r="C47" s="12"/>
    </row>
  </sheetData>
  <pageMargins left="0.7" right="0.7" top="0.75" bottom="0.75" header="0.3" footer="0.3"/>
  <pageSetup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Data</vt:lpstr>
      <vt:lpstr>Piovot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2025-09-09T11:01:40Z</dcterms:created>
  <dcterms:modified xsi:type="dcterms:W3CDTF">2025-09-19T11:56:01Z</dcterms:modified>
</cp:coreProperties>
</file>